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ek\START\prog_proj\OdinAnalytics\sheets\"/>
    </mc:Choice>
  </mc:AlternateContent>
  <xr:revisionPtr revIDLastSave="0" documentId="13_ncr:1_{FE134A6E-AC09-4C36-A073-11499C2862CE}" xr6:coauthVersionLast="47" xr6:coauthVersionMax="47" xr10:uidLastSave="{00000000-0000-0000-0000-000000000000}"/>
  <bookViews>
    <workbookView xWindow="-120" yWindow="-120" windowWidth="29040" windowHeight="16440" xr2:uid="{CC038B3D-5DA1-43AC-BE17-600265123F86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" l="1" a="1"/>
  <c r="M25" i="2" s="1"/>
  <c r="M22" i="2" a="1"/>
  <c r="M22" i="2" s="1"/>
  <c r="I13" i="2" a="1"/>
  <c r="I13" i="2" s="1"/>
  <c r="I16" i="2" s="1" a="1"/>
  <c r="I16" i="2" s="1"/>
  <c r="E21" i="2" a="1"/>
  <c r="E21" i="2" s="1"/>
  <c r="E24" i="2" s="1" a="1"/>
  <c r="E24" i="2" s="1"/>
  <c r="E13" i="2" a="1"/>
  <c r="E13" i="2" s="1"/>
  <c r="E16" i="2" s="1" a="1"/>
  <c r="E16" i="2" s="1"/>
  <c r="B13" i="2" a="1"/>
  <c r="B13" i="2" s="1"/>
  <c r="M19" i="2" a="1"/>
  <c r="M19" i="2" s="1"/>
  <c r="M16" i="2" a="1"/>
  <c r="M16" i="2" s="1"/>
  <c r="P37" i="2" a="1"/>
  <c r="P37" i="2" s="1"/>
  <c r="P34" i="2" a="1"/>
  <c r="P34" i="2" s="1"/>
  <c r="P28" i="2" a="1"/>
  <c r="P28" i="2" s="1"/>
  <c r="P31" i="2" a="1"/>
  <c r="P31" i="2" s="1"/>
  <c r="P25" i="2" a="1"/>
  <c r="P25" i="2" s="1"/>
  <c r="P22" i="2" a="1"/>
  <c r="P22" i="2" s="1"/>
  <c r="P19" i="2" a="1"/>
  <c r="P19" i="2" s="1"/>
  <c r="P16" i="2" a="1"/>
  <c r="P16" i="2" s="1"/>
  <c r="B16" i="2" l="1" a="1"/>
  <c r="B16" i="2" s="1"/>
  <c r="B21" i="2" l="1" a="1"/>
  <c r="B21" i="2" s="1"/>
  <c r="B24" i="2" s="1" a="1"/>
  <c r="B2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<sst xmlns="http://schemas.openxmlformats.org/spreadsheetml/2006/main" count="60" uniqueCount="51">
  <si>
    <t xml:space="preserve">apple </t>
  </si>
  <si>
    <t>jack fruit</t>
  </si>
  <si>
    <t>JLC</t>
  </si>
  <si>
    <t>Rolex</t>
  </si>
  <si>
    <t>AP</t>
  </si>
  <si>
    <t>Polaris:6</t>
  </si>
  <si>
    <t>Royal Oak: 50</t>
  </si>
  <si>
    <t>Submariner:15</t>
  </si>
  <si>
    <t>Oyster Perpetual:15</t>
  </si>
  <si>
    <t>Royal Oak:20</t>
  </si>
  <si>
    <t>DayTona:60</t>
  </si>
  <si>
    <t>Reverso:250</t>
  </si>
  <si>
    <t>Polaris:90</t>
  </si>
  <si>
    <t>AXL Demo Test</t>
  </si>
  <si>
    <t>banana</t>
  </si>
  <si>
    <t>Input</t>
  </si>
  <si>
    <t>=AxArray(B8:C10)</t>
  </si>
  <si>
    <t>=AxDisplay(B13)</t>
  </si>
  <si>
    <t>=AxArray(B16:C16)</t>
  </si>
  <si>
    <t>=AxDisplay(B21)</t>
  </si>
  <si>
    <t>Array/Dictionary Functions</t>
  </si>
  <si>
    <t>=AxDictionary($E$8:$E$10,F8:F10)</t>
  </si>
  <si>
    <t>=AxDictionary($E$8:$E$10,G8:G10)</t>
  </si>
  <si>
    <t>=AxDisplay(E13)</t>
  </si>
  <si>
    <t>=AxDisplay(E21)</t>
  </si>
  <si>
    <t>=AxDictionary(I8:K8,I9:K9)</t>
  </si>
  <si>
    <t>=AxDisplay(I12)</t>
  </si>
  <si>
    <t>Date Functions</t>
  </si>
  <si>
    <t>Base_Date</t>
  </si>
  <si>
    <t>Tenor</t>
  </si>
  <si>
    <t>Calendar</t>
  </si>
  <si>
    <t>Adjustment_Rule</t>
  </si>
  <si>
    <t>8M</t>
  </si>
  <si>
    <t>Following</t>
  </si>
  <si>
    <t>NYB</t>
  </si>
  <si>
    <t>NYB;LNB</t>
  </si>
  <si>
    <t>=AxIsBusinessDay(P9,Q9)</t>
  </si>
  <si>
    <t>=AxIsBusinessDay(P10,Q10)</t>
  </si>
  <si>
    <t>=AxIsHoliday(P9,Q9)</t>
  </si>
  <si>
    <t>=AxIsHoliday(P10,Q10)</t>
  </si>
  <si>
    <t>ACT/ACT</t>
  </si>
  <si>
    <t>30/360</t>
  </si>
  <si>
    <t>=AxDayCount(P9,P10,P12)</t>
  </si>
  <si>
    <t>=AxDayCount(P9,P10,Q12)</t>
  </si>
  <si>
    <t>=AxYearFraction(P9,P10,P12)</t>
  </si>
  <si>
    <t>=AxYearFraction(P9,P10,Q12)</t>
  </si>
  <si>
    <t>=AxComputeDate(M9:N12)</t>
  </si>
  <si>
    <t>=AxComputeDate(M9:M12,N9:N12)</t>
  </si>
  <si>
    <t>This demonstrates OXL array and time functions exported using the Accel framework.</t>
  </si>
  <si>
    <t>=AxDictionary(M9:M12,N9:N12)</t>
  </si>
  <si>
    <t>=AxComputeDate(M22)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</si>
</sst>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0" xfId="0" quotePrefix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14" fontId="0" fillId="0" borderId="0" xfId="0" applyNumberFormat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8C1D-2C17-41AA-9577-0406209DFD12}">
  <dimension ref="B2:Q59"/>
  <sheetViews>
    <sheetView tabSelected="1" workbookViewId="0">
      <selection activeCell="M32" sqref="M32"/>
    </sheetView>
  </sheetViews>
  <sheetFormatPr defaultRowHeight="15" x14ac:dyDescent="0.25"/>
  <cols>
    <col min="2" max="4" width="9.140625" customWidth="1"/>
    <col min="6" max="6" width="18.7109375" customWidth="1"/>
    <col min="7" max="7" width="19" customWidth="1"/>
    <col min="8" max="8" width="9.140625" customWidth="1"/>
    <col min="10" max="10" width="13" customWidth="1"/>
    <col min="11" max="11" width="13.28515625" customWidth="1"/>
    <col min="13" max="13" width="16.5703125" bestFit="1" customWidth="1"/>
    <col min="14" max="14" width="10.85546875" customWidth="1"/>
    <col min="16" max="16" width="10.42578125" bestFit="1" customWidth="1"/>
  </cols>
  <sheetData>
    <row r="2" spans="2:17" x14ac:dyDescent="0.25">
      <c r="B2" s="2" t="s">
        <v>13</v>
      </c>
    </row>
    <row r="3" spans="2:17" x14ac:dyDescent="0.25">
      <c r="B3" t="s">
        <v>48</v>
      </c>
      <c r="G3" s="1"/>
    </row>
    <row r="5" spans="2:17" x14ac:dyDescent="0.25">
      <c r="B5" s="14" t="s">
        <v>20</v>
      </c>
      <c r="C5" s="15"/>
      <c r="D5" s="16"/>
      <c r="M5" s="9" t="s">
        <v>27</v>
      </c>
      <c r="N5" s="12"/>
    </row>
    <row r="7" spans="2:17" x14ac:dyDescent="0.25">
      <c r="B7" s="9" t="s">
        <v>15</v>
      </c>
      <c r="E7" s="9" t="s">
        <v>15</v>
      </c>
      <c r="I7" s="9" t="s">
        <v>15</v>
      </c>
      <c r="M7" s="9" t="s">
        <v>15</v>
      </c>
      <c r="P7" s="9" t="s">
        <v>15</v>
      </c>
    </row>
    <row r="8" spans="2:17" x14ac:dyDescent="0.25">
      <c r="B8" s="3" t="s">
        <v>1</v>
      </c>
      <c r="C8" s="4">
        <v>45</v>
      </c>
      <c r="E8" s="3" t="s">
        <v>2</v>
      </c>
      <c r="F8" s="11" t="s">
        <v>12</v>
      </c>
      <c r="G8" s="4" t="s">
        <v>11</v>
      </c>
    </row>
    <row r="9" spans="2:17" x14ac:dyDescent="0.25">
      <c r="B9" s="5" t="s">
        <v>0</v>
      </c>
      <c r="C9" s="6">
        <v>170</v>
      </c>
      <c r="E9" s="5" t="s">
        <v>3</v>
      </c>
      <c r="F9" s="12" t="s">
        <v>7</v>
      </c>
      <c r="G9" s="6" t="s">
        <v>8</v>
      </c>
      <c r="I9" s="3" t="s">
        <v>2</v>
      </c>
      <c r="J9" s="11" t="s">
        <v>3</v>
      </c>
      <c r="K9" s="4" t="s">
        <v>4</v>
      </c>
      <c r="M9" s="3" t="s">
        <v>28</v>
      </c>
      <c r="N9" s="18">
        <v>45163</v>
      </c>
      <c r="P9" s="19">
        <v>46016</v>
      </c>
      <c r="Q9" s="16" t="s">
        <v>35</v>
      </c>
    </row>
    <row r="10" spans="2:17" x14ac:dyDescent="0.25">
      <c r="B10" s="7" t="s">
        <v>14</v>
      </c>
      <c r="C10" s="8">
        <v>120</v>
      </c>
      <c r="E10" s="7" t="s">
        <v>4</v>
      </c>
      <c r="F10" s="13" t="s">
        <v>6</v>
      </c>
      <c r="G10" s="8" t="s">
        <v>9</v>
      </c>
      <c r="I10" s="7" t="s">
        <v>5</v>
      </c>
      <c r="J10" s="13" t="s">
        <v>10</v>
      </c>
      <c r="K10" s="8" t="s">
        <v>6</v>
      </c>
      <c r="M10" s="5" t="s">
        <v>29</v>
      </c>
      <c r="N10" s="6" t="s">
        <v>32</v>
      </c>
      <c r="P10" s="19">
        <v>46049</v>
      </c>
      <c r="Q10" s="16" t="s">
        <v>34</v>
      </c>
    </row>
    <row r="11" spans="2:17" x14ac:dyDescent="0.25">
      <c r="M11" s="5" t="s">
        <v>31</v>
      </c>
      <c r="N11" s="6" t="s">
        <v>33</v>
      </c>
    </row>
    <row r="12" spans="2:17" x14ac:dyDescent="0.25">
      <c r="B12" s="10" t="s">
        <v>16</v>
      </c>
      <c r="E12" s="10" t="s">
        <v>21</v>
      </c>
      <c r="I12" s="10" t="s">
        <v>25</v>
      </c>
      <c r="M12" s="7" t="s">
        <v>30</v>
      </c>
      <c r="N12" s="8" t="s">
        <v>34</v>
      </c>
      <c r="P12" s="20" t="s">
        <v>40</v>
      </c>
      <c r="Q12" s="16" t="s">
        <v>41</v>
      </c>
    </row>
    <row r="13" spans="2:17" x14ac:dyDescent="0.25">
      <c r="B13" t="str" cm="1">
        <f t="array" ref="B13">_xll.AxArray(B8:C10)</f>
        <v>Array_main_$12$1:0</v>
      </c>
      <c r="E13" t="str" cm="1">
        <f t="array" ref="E13">_xll.AxDictionary($E$8:$E$10,F8:F10)</f>
        <v>Dictionary_main_$12$4:0</v>
      </c>
      <c r="I13" t="str" cm="1">
        <f t="array" ref="I13">_xll.AxDictionary(I9:K9,I10:K10)</f>
        <v>Dictionary_main_$12$8:0</v>
      </c>
    </row>
    <row r="15" spans="2:17" x14ac:dyDescent="0.25">
      <c r="B15" s="10" t="s">
        <v>17</v>
      </c>
      <c r="E15" s="10" t="s">
        <v>23</v>
      </c>
      <c r="I15" s="10" t="s">
        <v>26</v>
      </c>
      <c r="M15" s="10" t="s">
        <v>46</v>
      </c>
      <c r="P15" s="10" t="s">
        <v>36</v>
      </c>
    </row>
    <row r="16" spans="2:17" x14ac:dyDescent="0.25">
      <c r="B16" t="str" cm="1">
        <f t="array" ref="B16:C18">_xll.AxDisplay(B13)</f>
        <v>jack fruit</v>
      </c>
      <c r="C16">
        <v>45</v>
      </c>
      <c r="E16" t="str" cm="1">
        <f t="array" ref="E16:F18">_xll.AxDisplay(E13)</f>
        <v>AP</v>
      </c>
      <c r="F16" t="str">
        <v>Royal Oak: 50</v>
      </c>
      <c r="I16" t="str" cm="1">
        <f t="array" ref="I16:J18">_xll.AxDisplay(I13)</f>
        <v>AP</v>
      </c>
      <c r="J16" t="str">
        <v>Royal Oak: 50</v>
      </c>
      <c r="M16" s="17" cm="1">
        <f t="array" ref="M16">_xll.AxComputeDate(M9:N12)</f>
        <v>45407</v>
      </c>
      <c r="P16" t="b" cm="1">
        <f t="array" ref="P16">_xll.AxIsBusinessDay(P9,Q9)</f>
        <v>0</v>
      </c>
    </row>
    <row r="17" spans="2:16" x14ac:dyDescent="0.25">
      <c r="B17" t="str">
        <v xml:space="preserve">apple </v>
      </c>
      <c r="C17">
        <v>170</v>
      </c>
      <c r="E17" t="str">
        <v>JLC</v>
      </c>
      <c r="F17" t="str">
        <v>Polaris:90</v>
      </c>
      <c r="I17" t="str">
        <v>JLC</v>
      </c>
      <c r="J17" t="str">
        <v>Polaris:6</v>
      </c>
    </row>
    <row r="18" spans="2:16" x14ac:dyDescent="0.25">
      <c r="B18" t="str">
        <v>banana</v>
      </c>
      <c r="C18">
        <v>120</v>
      </c>
      <c r="E18" t="str">
        <v>Rolex</v>
      </c>
      <c r="F18" t="str">
        <v>Submariner:15</v>
      </c>
      <c r="I18" t="str">
        <v>Rolex</v>
      </c>
      <c r="J18" t="str">
        <v>DayTona:60</v>
      </c>
      <c r="M18" s="10" t="s">
        <v>47</v>
      </c>
      <c r="P18" s="10" t="s">
        <v>37</v>
      </c>
    </row>
    <row r="19" spans="2:16" x14ac:dyDescent="0.25">
      <c r="M19" s="17" cm="1">
        <f t="array" ref="M19">_xll.AxComputeDate(M9:M12,N9:N12)</f>
        <v>45407</v>
      </c>
      <c r="P19" t="b" cm="1">
        <f t="array" ref="P19">_xll.AxIsBusinessDay(P10,Q10)</f>
        <v>1</v>
      </c>
    </row>
    <row r="20" spans="2:16" x14ac:dyDescent="0.25">
      <c r="B20" s="10" t="s">
        <v>18</v>
      </c>
      <c r="E20" s="10" t="s">
        <v>22</v>
      </c>
    </row>
    <row r="21" spans="2:16" x14ac:dyDescent="0.25">
      <c r="B21" t="str" cm="1">
        <f t="array" ref="B21">_xll.AxArray(B16:C16)</f>
        <v>Array_main_$20$1:0</v>
      </c>
      <c r="E21" t="str" cm="1">
        <f t="array" ref="E21">_xll.AxDictionary($E$8:$E$10,G8:G10)</f>
        <v>Dictionary_main_$20$4:0</v>
      </c>
      <c r="M21" s="10" t="s">
        <v>49</v>
      </c>
      <c r="P21" s="10" t="s">
        <v>38</v>
      </c>
    </row>
    <row r="22" spans="2:16" x14ac:dyDescent="0.25">
      <c r="M22" t="str" cm="1">
        <f t="array" ref="M22">_xll.AxDictionary(M9:M12,N9:N12)</f>
        <v>Dictionary_main_$21$12:0</v>
      </c>
      <c r="P22" t="b" cm="1">
        <f t="array" ref="P22">_xll.AxIsHoliday(P9,Q9)</f>
        <v>1</v>
      </c>
    </row>
    <row r="23" spans="2:16" x14ac:dyDescent="0.25">
      <c r="B23" s="10" t="s">
        <v>19</v>
      </c>
      <c r="E23" s="10" t="s">
        <v>24</v>
      </c>
    </row>
    <row r="24" spans="2:16" x14ac:dyDescent="0.25">
      <c r="B24" t="str" cm="1">
        <f t="array" ref="B24:C24">_xll.AxDisplay(B21)</f>
        <v>jack fruit</v>
      </c>
      <c r="C24">
        <v>45</v>
      </c>
      <c r="E24" t="str" cm="1">
        <f t="array" ref="E24:F26">_xll.AxDisplay(E21)</f>
        <v>AP</v>
      </c>
      <c r="F24" t="str">
        <v>Royal Oak:20</v>
      </c>
      <c r="M24" s="10" t="s">
        <v>50</v>
      </c>
      <c r="P24" s="10" t="s">
        <v>39</v>
      </c>
    </row>
    <row r="25" spans="2:16" x14ac:dyDescent="0.25">
      <c r="E25" t="str">
        <v>JLC</v>
      </c>
      <c r="F25" t="str">
        <v>Reverso:250</v>
      </c>
      <c r="M25" s="17" cm="1">
        <f t="array" ref="M25">_xll.AxComputeDate(M22)</f>
        <v>45407</v>
      </c>
      <c r="P25" t="b" cm="1">
        <f t="array" ref="P25">_xll.AxIsHoliday(P10,Q10)</f>
        <v>0</v>
      </c>
    </row>
    <row r="26" spans="2:16" x14ac:dyDescent="0.25">
      <c r="E26" t="str">
        <v>Rolex</v>
      </c>
      <c r="F26" t="str">
        <v>Oyster Perpetual:15</v>
      </c>
    </row>
    <row r="27" spans="2:16" x14ac:dyDescent="0.25">
      <c r="P27" s="10" t="s">
        <v>42</v>
      </c>
    </row>
    <row r="28" spans="2:16" x14ac:dyDescent="0.25">
      <c r="P28" cm="1">
        <f t="array" ref="P28">_xll.AxDayCount(P9,P10,P12)</f>
        <v>33</v>
      </c>
    </row>
    <row r="30" spans="2:16" x14ac:dyDescent="0.25">
      <c r="P30" s="10" t="s">
        <v>43</v>
      </c>
    </row>
    <row r="31" spans="2:16" x14ac:dyDescent="0.25">
      <c r="P31" cm="1">
        <f t="array" ref="P31">_xll.AxDayCount(P9,P10,Q12)</f>
        <v>32</v>
      </c>
    </row>
    <row r="32" spans="2:16" x14ac:dyDescent="0.25">
      <c r="M32" s="2"/>
    </row>
    <row r="33" spans="8:16" x14ac:dyDescent="0.25">
      <c r="P33" s="10" t="s">
        <v>44</v>
      </c>
    </row>
    <row r="34" spans="8:16" x14ac:dyDescent="0.25">
      <c r="P34" cm="1">
        <f t="array" ref="P34">_xll.AxYearFraction(P9,P10,P12)</f>
        <v>9.0410958904109592E-2</v>
      </c>
    </row>
    <row r="36" spans="8:16" x14ac:dyDescent="0.25">
      <c r="P36" s="10" t="s">
        <v>45</v>
      </c>
    </row>
    <row r="37" spans="8:16" x14ac:dyDescent="0.25">
      <c r="H37" s="1"/>
      <c r="P37" cm="1">
        <f t="array" ref="P37">_xll.AxYearFraction(P9,P10,Q12)</f>
        <v>8.8888888888888892E-2</v>
      </c>
    </row>
    <row r="38" spans="8:16" x14ac:dyDescent="0.25">
      <c r="H38" s="1"/>
    </row>
    <row r="39" spans="8:16" x14ac:dyDescent="0.25">
      <c r="H39" s="1"/>
    </row>
    <row r="40" spans="8:16" x14ac:dyDescent="0.25">
      <c r="H40" s="1"/>
    </row>
    <row r="48" spans="8:16" x14ac:dyDescent="0.25">
      <c r="N48" s="1"/>
      <c r="P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  <row r="56" spans="14:14" x14ac:dyDescent="0.25">
      <c r="N56" s="1"/>
    </row>
    <row r="57" spans="14:14" x14ac:dyDescent="0.25">
      <c r="N57" s="1"/>
    </row>
    <row r="58" spans="14:14" x14ac:dyDescent="0.25">
      <c r="N58" s="1"/>
    </row>
    <row r="59" spans="14:14" x14ac:dyDescent="0.25">
      <c r="N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Jang</dc:creator>
  <cp:lastModifiedBy>admin H</cp:lastModifiedBy>
  <dcterms:created xsi:type="dcterms:W3CDTF">2023-03-04T20:16:06Z</dcterms:created>
  <dcterms:modified xsi:type="dcterms:W3CDTF">2026-01-28T04:21:37Z</dcterms:modified>
</cp:coreProperties>
</file>