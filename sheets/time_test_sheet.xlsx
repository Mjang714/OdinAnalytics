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3DAEAE15-7062-4804-81B9-F148CEEFE4E8}" xr6:coauthVersionLast="47" xr6:coauthVersionMax="47" xr10:uidLastSave="{00000000-0000-0000-0000-000000000000}"/>
  <bookViews>
    <workbookView xWindow="22932" yWindow="-108" windowWidth="23256" windowHeight="12456" activeTab="2" xr2:uid="{4F0FB8F6-FBCA-4404-B166-FFC6556ED016}"/>
  </bookViews>
  <sheets>
    <sheet name="boolean_logic_dates" sheetId="1" r:id="rId1"/>
    <sheet name="day_count" sheetId="2" r:id="rId2"/>
    <sheet name="ComputeDate" sheetId="3" r:id="rId3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/>
  <c r="C11" i="3"/>
  <c r="F3" i="3" a="1"/>
  <c r="C9" i="3"/>
  <c r="C2" i="3"/>
  <c r="C10" i="3" s="1"/>
  <c r="E23" i="2"/>
  <c r="E13" i="2"/>
  <c r="G18" i="1"/>
  <c r="E15" i="2"/>
  <c r="E14" i="2"/>
  <c r="C13" i="2"/>
  <c r="I22" i="2"/>
  <c r="K11" i="1"/>
  <c r="I34" i="2"/>
  <c r="E5" i="2"/>
  <c r="I36" i="2"/>
  <c r="C49" i="2"/>
  <c r="I16" i="2"/>
  <c r="E25" i="2"/>
  <c r="C32" i="2"/>
  <c r="C12" i="2"/>
  <c r="C15" i="2"/>
  <c r="C14" i="2"/>
  <c r="I33" i="2"/>
  <c r="C30" i="2"/>
  <c r="I17" i="2"/>
  <c r="I4" i="2"/>
  <c r="I47" i="2"/>
  <c r="C33" i="2"/>
  <c r="F11" i="1"/>
  <c r="E9" i="2"/>
  <c r="I32" i="2"/>
  <c r="C5" i="2"/>
  <c r="C39" i="2"/>
  <c r="C45" i="2"/>
  <c r="F18" i="1"/>
  <c r="C44" i="2"/>
  <c r="E10" i="2"/>
  <c r="I43" i="2"/>
  <c r="J14" i="1"/>
  <c r="C8" i="3"/>
  <c r="C43" i="2"/>
  <c r="C19" i="2"/>
  <c r="K18" i="1"/>
  <c r="C6" i="2"/>
  <c r="I18" i="2"/>
  <c r="C48" i="2"/>
  <c r="I23" i="2"/>
  <c r="I49" i="2"/>
  <c r="E19" i="2"/>
  <c r="E6" i="2"/>
  <c r="I11" i="1"/>
  <c r="I21" i="2"/>
  <c r="I8" i="2"/>
  <c r="E22" i="2"/>
  <c r="C29" i="2"/>
  <c r="I18" i="1"/>
  <c r="G11" i="1"/>
  <c r="C35" i="2"/>
  <c r="C11" i="2"/>
  <c r="C40" i="2"/>
  <c r="I8" i="1"/>
  <c r="I50" i="2"/>
  <c r="C7" i="2"/>
  <c r="C31" i="2"/>
  <c r="I30" i="2"/>
  <c r="I42" i="2"/>
  <c r="K8" i="1"/>
  <c r="I6" i="2"/>
  <c r="J8" i="1"/>
  <c r="L14" i="1"/>
  <c r="C24" i="2"/>
  <c r="I12" i="2"/>
  <c r="F8" i="1"/>
  <c r="C23" i="2"/>
  <c r="C34" i="2"/>
  <c r="I7" i="2"/>
  <c r="C50" i="2"/>
  <c r="I9" i="2"/>
  <c r="L18" i="1"/>
  <c r="I41" i="2"/>
  <c r="C4" i="2"/>
  <c r="I31" i="2"/>
  <c r="C21" i="2"/>
  <c r="C22" i="2"/>
  <c r="I45" i="2"/>
  <c r="C37" i="2"/>
  <c r="C20" i="2"/>
  <c r="I39" i="2"/>
  <c r="C38" i="2"/>
  <c r="J18" i="1"/>
  <c r="C17" i="2"/>
  <c r="I20" i="2"/>
  <c r="I24" i="2"/>
  <c r="H11" i="1"/>
  <c r="C41" i="2"/>
  <c r="E18" i="2"/>
  <c r="H14" i="1"/>
  <c r="H8" i="1"/>
  <c r="I11" i="2"/>
  <c r="I46" i="2"/>
  <c r="I10" i="2"/>
  <c r="I14" i="2"/>
  <c r="J11" i="1"/>
  <c r="I15" i="2"/>
  <c r="I29" i="2"/>
  <c r="C25" i="2"/>
  <c r="E17" i="2"/>
  <c r="I13" i="2"/>
  <c r="E8" i="2"/>
  <c r="E16" i="2"/>
  <c r="C36" i="2"/>
  <c r="I5" i="2"/>
  <c r="I48" i="2"/>
  <c r="C18" i="2"/>
  <c r="I40" i="2"/>
  <c r="E4" i="2"/>
  <c r="I25" i="2"/>
  <c r="G14" i="1"/>
  <c r="I38" i="2"/>
  <c r="C16" i="2"/>
  <c r="C46" i="2"/>
  <c r="C42" i="2"/>
  <c r="G8" i="1"/>
  <c r="I19" i="2"/>
  <c r="C47" i="2"/>
  <c r="E21" i="2"/>
  <c r="E11" i="2"/>
  <c r="H18" i="1"/>
  <c r="I37" i="2"/>
  <c r="L11" i="1"/>
  <c r="L8" i="1"/>
  <c r="E24" i="2"/>
  <c r="C8" i="2"/>
  <c r="C9" i="2"/>
  <c r="K14" i="1"/>
  <c r="E12" i="2"/>
  <c r="I35" i="2"/>
  <c r="E20" i="2"/>
  <c r="I14" i="1"/>
  <c r="F14" i="1"/>
  <c r="C10" i="2"/>
  <c r="I44" i="2"/>
  <c r="E7" i="2"/>
  <c r="G4" i="3" l="1"/>
  <c r="F5" i="3"/>
  <c r="F3" i="3"/>
  <c r="G3" i="3"/>
  <c r="F4" i="3"/>
  <c r="G5" i="3"/>
  <c r="F6" i="3"/>
  <c r="G6" i="3"/>
  <c r="D10" i="2"/>
  <c r="F10" i="2" s="1"/>
  <c r="D9" i="2"/>
  <c r="F9" i="2" s="1"/>
  <c r="D8" i="2"/>
  <c r="F8" i="2" s="1"/>
  <c r="D16" i="2"/>
  <c r="F16" i="2" s="1"/>
  <c r="D18" i="2"/>
  <c r="F18" i="2" s="1"/>
  <c r="D25" i="2"/>
  <c r="F25" i="2" s="1"/>
  <c r="D17" i="2"/>
  <c r="F17" i="2" s="1"/>
  <c r="D20" i="2"/>
  <c r="F20" i="2" s="1"/>
  <c r="D22" i="2"/>
  <c r="F22" i="2" s="1"/>
  <c r="D21" i="2"/>
  <c r="F21" i="2" s="1"/>
  <c r="D4" i="2"/>
  <c r="F4" i="2" s="1"/>
  <c r="D23" i="2"/>
  <c r="F23" i="2" s="1"/>
  <c r="D24" i="2"/>
  <c r="F24" i="2" s="1"/>
  <c r="D7" i="2"/>
  <c r="F7" i="2" s="1"/>
  <c r="D11" i="2"/>
  <c r="F11" i="2" s="1"/>
  <c r="D6" i="2"/>
  <c r="F6" i="2" s="1"/>
  <c r="D19" i="2"/>
  <c r="F19" i="2" s="1"/>
  <c r="D5" i="2"/>
  <c r="F5" i="2" s="1"/>
  <c r="D14" i="2"/>
  <c r="F14" i="2" s="1"/>
  <c r="D15" i="2"/>
  <c r="F15" i="2" s="1"/>
  <c r="D12" i="2"/>
  <c r="F12" i="2" s="1"/>
  <c r="D13" i="2"/>
  <c r="F13" i="2" s="1"/>
</calcChain>
</file>

<file path=xl/sharedStrings.xml><?xml version="1.0" encoding="utf-8"?>
<sst xmlns="http://schemas.openxmlformats.org/spreadsheetml/2006/main" count="67" uniqueCount="33">
  <si>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</si>
  <si>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</si>
  <si>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</si>
  <si>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</si>
  <si>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</si>
  <si>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</si>
  <si>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</si>
  <si>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</si>
  <si>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</si>
  <si>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</si>
  <si>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</si>
  <si>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</si>
  <si>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</si>
  <si>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</si>
  <si>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</si>
  <si>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</si>
  <si>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</si>
  <si>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</si>
  <si>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</si>
  <si>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</si>
  <si>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</si>
  <si>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</si>
  <si>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</si>
  <si>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</si>
  <si>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</si>
  <si>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</si>
  <si>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</si>
  <si>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</si>
  <si>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</si>
  <si>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</si>
  <si>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</si>
  <si>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MF</t>
  </si>
  <si>
    <t>6M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</si>
</sst>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B1:L18"/>
  <sheetViews>
    <sheetView workbookViewId="0">
      <selection activeCell="E11" sqref="E11"/>
    </sheetView>
  </sheetViews>
  <sheetFormatPr defaultRowHeight="14.4" x14ac:dyDescent="0.3"/>
  <cols>
    <col min="5" max="5" width="17.44140625" bestFit="1" customWidth="1"/>
    <col min="6" max="6" width="17.6640625" bestFit="1" customWidth="1"/>
    <col min="7" max="7" width="23.5546875" bestFit="1" customWidth="1"/>
    <col min="8" max="8" width="11.109375" bestFit="1" customWidth="1"/>
    <col min="9" max="9" width="20.44140625" bestFit="1" customWidth="1"/>
    <col min="10" max="10" width="10.6640625" bestFit="1" customWidth="1"/>
    <col min="11" max="11" width="20" bestFit="1" customWidth="1"/>
    <col min="12" max="12" width="9.5546875" bestFit="1" customWidth="1"/>
  </cols>
  <sheetData>
    <row r="1" spans="2:12" x14ac:dyDescent="0.3">
      <c r="B1" t="str">
        <f>ComputeDate!C2</f>
        <v>Dictionary_ComputeDate_$1$2:2</v>
      </c>
    </row>
    <row r="5" spans="2:12" x14ac:dyDescent="0.3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2:12" x14ac:dyDescent="0.3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2:12" x14ac:dyDescent="0.3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2:12" x14ac:dyDescent="0.3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2:12" x14ac:dyDescent="0.3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2:12" x14ac:dyDescent="0.3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2:12" x14ac:dyDescent="0.3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2:12" x14ac:dyDescent="0.3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3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3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workbookViewId="0">
      <selection activeCell="G19" sqref="G19"/>
    </sheetView>
  </sheetViews>
  <sheetFormatPr defaultRowHeight="14.4" x14ac:dyDescent="0.3"/>
  <cols>
    <col min="1" max="2" width="10.6640625" bestFit="1" customWidth="1"/>
    <col min="3" max="3" width="10.44140625" bestFit="1" customWidth="1"/>
    <col min="4" max="5" width="10.6640625" bestFit="1" customWidth="1"/>
    <col min="6" max="6" width="10.44140625" bestFit="1" customWidth="1"/>
    <col min="7" max="8" width="10.6640625" bestFit="1" customWidth="1"/>
    <col min="9" max="9" width="10.44140625" bestFit="1" customWidth="1"/>
    <col min="12" max="13" width="9.5546875" bestFit="1" customWidth="1"/>
  </cols>
  <sheetData>
    <row r="2" spans="1:13" x14ac:dyDescent="0.3">
      <c r="A2" s="12" t="s">
        <v>21</v>
      </c>
      <c r="B2" s="13"/>
      <c r="C2" s="14"/>
      <c r="G2" s="12" t="s">
        <v>22</v>
      </c>
      <c r="H2" s="13"/>
      <c r="I2" s="14"/>
    </row>
    <row r="3" spans="1:13" x14ac:dyDescent="0.3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3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3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3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3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3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3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3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3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3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3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3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3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3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3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3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3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3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3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3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3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3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3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3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3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3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3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3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3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3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3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3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3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3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3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3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3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3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3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3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3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3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3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3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3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3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3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3">
      <c r="A52" t="s">
        <v>21</v>
      </c>
    </row>
    <row r="53" spans="1:9" x14ac:dyDescent="0.3">
      <c r="A53" t="s">
        <v>17</v>
      </c>
      <c r="B53" t="s">
        <v>18</v>
      </c>
      <c r="C53" t="s">
        <v>19</v>
      </c>
    </row>
    <row r="54" spans="1:9" x14ac:dyDescent="0.3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G11"/>
  <sheetViews>
    <sheetView tabSelected="1" workbookViewId="0">
      <selection activeCell="C7" sqref="C7"/>
    </sheetView>
  </sheetViews>
  <sheetFormatPr defaultRowHeight="14.4" x14ac:dyDescent="0.3"/>
  <cols>
    <col min="2" max="2" width="16.5546875" bestFit="1" customWidth="1"/>
    <col min="3" max="3" width="30.5546875" bestFit="1" customWidth="1"/>
    <col min="4" max="5" width="10.6640625" bestFit="1" customWidth="1"/>
  </cols>
  <sheetData>
    <row r="2" spans="2:7" x14ac:dyDescent="0.3">
      <c r="C2" t="str">
        <f>_xll.oxlDictionary(B3:B6,C3:C6)</f>
        <v>Dictionary_ComputeDate_$1$2:2</v>
      </c>
    </row>
    <row r="3" spans="2:7" x14ac:dyDescent="0.3">
      <c r="B3" t="s">
        <v>26</v>
      </c>
      <c r="C3" s="1">
        <v>45163</v>
      </c>
      <c r="F3" t="str">
        <f t="array" ref="F3:G6">_xll.oxlDisplay(C2)</f>
        <v>Adjustment_Rule</v>
      </c>
      <c r="G3" t="str">
        <v>MF</v>
      </c>
    </row>
    <row r="4" spans="2:7" x14ac:dyDescent="0.3">
      <c r="B4" t="s">
        <v>27</v>
      </c>
      <c r="C4" t="s">
        <v>32</v>
      </c>
      <c r="F4" t="str">
        <v>Base_Date</v>
      </c>
      <c r="G4">
        <v>45163</v>
      </c>
    </row>
    <row r="5" spans="2:7" x14ac:dyDescent="0.3">
      <c r="B5" t="s">
        <v>28</v>
      </c>
      <c r="C5" t="s">
        <v>31</v>
      </c>
      <c r="F5" t="str">
        <v>Calendar</v>
      </c>
      <c r="G5" t="str">
        <v>NYB</v>
      </c>
    </row>
    <row r="6" spans="2:7" x14ac:dyDescent="0.3">
      <c r="B6" t="s">
        <v>29</v>
      </c>
      <c r="C6" t="s">
        <v>0</v>
      </c>
      <c r="F6" t="str">
        <v>Tenor</v>
      </c>
      <c r="G6" t="str">
        <v>6M</v>
      </c>
    </row>
    <row r="7" spans="2:7" x14ac:dyDescent="0.3">
      <c r="C7" s="2" t="s">
        <v>30</v>
      </c>
    </row>
    <row r="8" spans="2:7" x14ac:dyDescent="0.3">
      <c r="C8" s="1">
        <f>_xll.oxlComputeDate(B3:C6)</f>
        <v>45348</v>
      </c>
    </row>
    <row r="9" spans="2:7" x14ac:dyDescent="0.3">
      <c r="C9" s="1">
        <f>_xll.oxlComputeDate(B3:B6,C3:C6)</f>
        <v>45348</v>
      </c>
    </row>
    <row r="10" spans="2:7" x14ac:dyDescent="0.3">
      <c r="C10" s="1">
        <f>_xll.oxlComputeDate(C2)</f>
        <v>45348</v>
      </c>
    </row>
    <row r="11" spans="2:7" x14ac:dyDescent="0.3">
      <c r="C11" s="1">
        <f>_xll.oxlComputeDate(C3,C4,C5,C6)</f>
        <v>45348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boolean_logic_dates</vt:lpstr>
      <vt:lpstr>day_count</vt:lpstr>
      <vt:lpstr>ComputeDate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2023-11-01T21:47:35Z</dcterms:modified>
</cp:coreProperties>
</file>