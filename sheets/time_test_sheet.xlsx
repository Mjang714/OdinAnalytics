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projects\OdinAnalytics\sheets\"/>
    </mc:Choice>
  </mc:AlternateContent>
  <xr:revisionPtr revIDLastSave="0" documentId="13_ncr:1_{F3590F24-EC0D-4CCC-8F30-427014F9C3F6}" xr6:coauthVersionLast="47" xr6:coauthVersionMax="47" xr10:uidLastSave="{00000000-0000-0000-0000-000000000000}"/>
  <bookViews>
    <workbookView xWindow="-108" yWindow="-108" windowWidth="23256" windowHeight="12456" activeTab="2" xr2:uid="{4F0FB8F6-FBCA-4404-B166-FFC6556ED016}"/>
  </bookViews>
  <sheets>
    <sheet name="boolean_logic_dates" sheetId="1" r:id="rId1"/>
    <sheet name="day_count" sheetId="2" r:id="rId2"/>
    <sheet name="ComputeDate" sheetId="3" r:id="rId3"/>
  </sheets>
  <definedNames>
    <definedName name="dayCountResult">day_count!$C$54</definedName>
    <definedName name="vbaDayCount">day_count!$A$52</definedName>
    <definedName name="vbaEndDate">day_count!$B$54</definedName>
    <definedName name="vbaStartDate">day_count!$A$54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" i="3" l="1"/>
  <c r="K9" i="3"/>
  <c r="K8" i="3"/>
  <c r="K2" i="3"/>
  <c r="C11" i="3"/>
  <c r="C10" i="3"/>
  <c r="C9" i="3"/>
  <c r="C8" i="3"/>
  <c r="C2" i="3"/>
  <c r="E23" i="2"/>
  <c r="E13" i="2"/>
  <c r="G18" i="1"/>
  <c r="E15" i="2"/>
  <c r="E14" i="2"/>
  <c r="C13" i="2"/>
  <c r="I4" i="2"/>
  <c r="K18" i="1"/>
  <c r="C11" i="2"/>
  <c r="C34" i="2"/>
  <c r="C17" i="2"/>
  <c r="E17" i="2"/>
  <c r="G8" i="1"/>
  <c r="I14" i="1"/>
  <c r="K18" i="3"/>
  <c r="I43" i="2"/>
  <c r="C35" i="2"/>
  <c r="I22" i="2"/>
  <c r="I47" i="2"/>
  <c r="C6" i="2"/>
  <c r="C40" i="2"/>
  <c r="I7" i="2"/>
  <c r="I20" i="2"/>
  <c r="I13" i="2"/>
  <c r="I19" i="2"/>
  <c r="F14" i="1"/>
  <c r="K12" i="3"/>
  <c r="C33" i="2"/>
  <c r="I18" i="2"/>
  <c r="I8" i="1"/>
  <c r="C50" i="2"/>
  <c r="I24" i="2"/>
  <c r="E8" i="2"/>
  <c r="C47" i="2"/>
  <c r="C10" i="2"/>
  <c r="F11" i="1"/>
  <c r="C48" i="2"/>
  <c r="I50" i="2"/>
  <c r="H11" i="1"/>
  <c r="E21" i="2"/>
  <c r="I44" i="2"/>
  <c r="C29" i="2"/>
  <c r="I12" i="2"/>
  <c r="C38" i="2"/>
  <c r="C19" i="2"/>
  <c r="K11" i="1"/>
  <c r="I9" i="2"/>
  <c r="E16" i="2"/>
  <c r="J11" i="1"/>
  <c r="C16" i="2"/>
  <c r="I29" i="2"/>
  <c r="K19" i="3"/>
  <c r="I34" i="2"/>
  <c r="E5" i="2"/>
  <c r="E9" i="2"/>
  <c r="I23" i="2"/>
  <c r="C7" i="2"/>
  <c r="L18" i="1"/>
  <c r="C41" i="2"/>
  <c r="C36" i="2"/>
  <c r="E11" i="2"/>
  <c r="E7" i="2"/>
  <c r="C5" i="2"/>
  <c r="C4" i="2"/>
  <c r="H14" i="1"/>
  <c r="I37" i="2"/>
  <c r="K8" i="1"/>
  <c r="I40" i="2"/>
  <c r="I21" i="2"/>
  <c r="C22" i="2"/>
  <c r="E24" i="2"/>
  <c r="C44" i="2"/>
  <c r="I8" i="2"/>
  <c r="I45" i="2"/>
  <c r="I25" i="2"/>
  <c r="E10" i="2"/>
  <c r="C37" i="2"/>
  <c r="G14" i="1"/>
  <c r="C14" i="2"/>
  <c r="K14" i="1"/>
  <c r="J14" i="1"/>
  <c r="E12" i="2"/>
  <c r="F8" i="1"/>
  <c r="I17" i="2"/>
  <c r="C42" i="2"/>
  <c r="I36" i="2"/>
  <c r="I32" i="2"/>
  <c r="I49" i="2"/>
  <c r="C31" i="2"/>
  <c r="I41" i="2"/>
  <c r="E18" i="2"/>
  <c r="I5" i="2"/>
  <c r="H18" i="1"/>
  <c r="E19" i="2"/>
  <c r="I30" i="2"/>
  <c r="I48" i="2"/>
  <c r="I11" i="2"/>
  <c r="L8" i="1"/>
  <c r="F18" i="1"/>
  <c r="I46" i="2"/>
  <c r="E3" i="3" a="1"/>
  <c r="C9" i="2"/>
  <c r="C24" i="2"/>
  <c r="I38" i="2"/>
  <c r="I33" i="2"/>
  <c r="C30" i="2"/>
  <c r="C46" i="2"/>
  <c r="C23" i="2"/>
  <c r="E20" i="2"/>
  <c r="C49" i="2"/>
  <c r="I16" i="2"/>
  <c r="C39" i="2"/>
  <c r="E6" i="2"/>
  <c r="I42" i="2"/>
  <c r="I31" i="2"/>
  <c r="H8" i="1"/>
  <c r="C18" i="2"/>
  <c r="L11" i="1"/>
  <c r="C45" i="2"/>
  <c r="I11" i="1"/>
  <c r="C21" i="2"/>
  <c r="I6" i="2"/>
  <c r="E4" i="2"/>
  <c r="C12" i="2"/>
  <c r="J8" i="1"/>
  <c r="I10" i="2"/>
  <c r="C8" i="2"/>
  <c r="C15" i="2"/>
  <c r="E22" i="2"/>
  <c r="L14" i="1"/>
  <c r="I14" i="2"/>
  <c r="C20" i="2"/>
  <c r="I39" i="2"/>
  <c r="I15" i="2"/>
  <c r="C43" i="2"/>
  <c r="K20" i="3"/>
  <c r="J18" i="1"/>
  <c r="E25" i="2"/>
  <c r="C32" i="2"/>
  <c r="I18" i="1"/>
  <c r="G11" i="1"/>
  <c r="I35" i="2"/>
  <c r="C25" i="2"/>
  <c r="D25" i="2" l="1"/>
  <c r="F25" i="2" s="1"/>
  <c r="D20" i="2"/>
  <c r="F20" i="2" s="1"/>
  <c r="D15" i="2"/>
  <c r="F15" i="2" s="1"/>
  <c r="D8" i="2"/>
  <c r="F8" i="2" s="1"/>
  <c r="D12" i="2"/>
  <c r="F12" i="2" s="1"/>
  <c r="D21" i="2"/>
  <c r="F21" i="2" s="1"/>
  <c r="D18" i="2"/>
  <c r="F18" i="2" s="1"/>
  <c r="D23" i="2"/>
  <c r="F23" i="2" s="1"/>
  <c r="D24" i="2"/>
  <c r="F24" i="2" s="1"/>
  <c r="D9" i="2"/>
  <c r="F9" i="2" s="1"/>
  <c r="F4" i="3"/>
  <c r="E5" i="3"/>
  <c r="E3" i="3"/>
  <c r="F3" i="3"/>
  <c r="E4" i="3"/>
  <c r="F6" i="3"/>
  <c r="F5" i="3"/>
  <c r="E6" i="3"/>
  <c r="D14" i="2"/>
  <c r="F14" i="2" s="1"/>
  <c r="D22" i="2"/>
  <c r="F22" i="2" s="1"/>
  <c r="D4" i="2"/>
  <c r="F4" i="2" s="1"/>
  <c r="D5" i="2"/>
  <c r="F5" i="2" s="1"/>
  <c r="D7" i="2"/>
  <c r="F7" i="2" s="1"/>
  <c r="D16" i="2"/>
  <c r="F16" i="2" s="1"/>
  <c r="D19" i="2"/>
  <c r="F19" i="2" s="1"/>
  <c r="D10" i="2"/>
  <c r="F10" i="2" s="1"/>
  <c r="D6" i="2"/>
  <c r="F6" i="2" s="1"/>
  <c r="D17" i="2"/>
  <c r="F17" i="2" s="1"/>
  <c r="D11" i="2"/>
  <c r="F11" i="2" s="1"/>
  <c r="D13" i="2"/>
  <c r="F13" i="2" s="1"/>
  <c r="B1" i="1"/>
</calcChain>
</file>

<file path=xl/sharedStrings.xml><?xml version="1.0" encoding="utf-8"?>
<sst xmlns="http://schemas.openxmlformats.org/spreadsheetml/2006/main" count="75" uniqueCount="34">
  <si>
    <t>NYB</t>
  </si>
  <si>
    <t>LNB</t>
  </si>
  <si>
    <t>UK Summer Bank Holiday</t>
  </si>
  <si>
    <t>Independence day</t>
  </si>
  <si>
    <t>LNB,NYB</t>
  </si>
  <si>
    <t>=oxlIsBusinessDay</t>
  </si>
  <si>
    <t>NYB,LNB</t>
  </si>
  <si>
    <t>=oxlIsHolidayDay</t>
  </si>
  <si>
    <t>Observed Juneteenth</t>
  </si>
  <si>
    <t>Juneteenth</t>
  </si>
  <si>
    <t>BoxingDay</t>
  </si>
  <si>
    <t>nyb</t>
  </si>
  <si>
    <t>lnb</t>
  </si>
  <si>
    <t>lnb,nyb</t>
  </si>
  <si>
    <t>nyb:lnb</t>
  </si>
  <si>
    <t>NYB;LNB</t>
  </si>
  <si>
    <t>LNB;NYB</t>
  </si>
  <si>
    <t>Start Date</t>
  </si>
  <si>
    <t>End Date</t>
  </si>
  <si>
    <t xml:space="preserve">Day Count </t>
  </si>
  <si>
    <t>ACT/360</t>
  </si>
  <si>
    <t>30/360</t>
  </si>
  <si>
    <t>30E/360EURO</t>
  </si>
  <si>
    <t>30E/360</t>
  </si>
  <si>
    <t xml:space="preserve">Memorial Day </t>
  </si>
  <si>
    <t xml:space="preserve">Day After Bxsing Day </t>
  </si>
  <si>
    <t>Base_Date</t>
  </si>
  <si>
    <t>Tenor</t>
  </si>
  <si>
    <t>Adjustment_Rule</t>
  </si>
  <si>
    <t>Calendar</t>
  </si>
  <si>
    <t/>
  </si>
  <si>
    <t>8M</t>
  </si>
  <si>
    <t>Following</t>
  </si>
  <si>
    <t>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</si>
</sst>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0" xfId="0" quotePrefix="1"/>
    <xf numFmtId="0" fontId="0" fillId="0" borderId="2" xfId="0" applyBorder="1"/>
    <xf numFmtId="14" fontId="0" fillId="0" borderId="7" xfId="0" applyNumberFormat="1" applyBorder="1"/>
    <xf numFmtId="14" fontId="0" fillId="0" borderId="8" xfId="0" applyNumberFormat="1" applyBorder="1"/>
    <xf numFmtId="14" fontId="0" fillId="0" borderId="9" xfId="0" applyNumberFormat="1" applyBorder="1"/>
    <xf numFmtId="0" fontId="0" fillId="0" borderId="3" xfId="0" applyBorder="1"/>
    <xf numFmtId="0" fontId="0" fillId="0" borderId="4" xfId="0" applyBorder="1"/>
    <xf numFmtId="14" fontId="0" fillId="0" borderId="5" xfId="0" applyNumberFormat="1" applyBorder="1"/>
    <xf numFmtId="14" fontId="0" fillId="0" borderId="6" xfId="0" applyNumberFormat="1" applyBorder="1"/>
    <xf numFmtId="0" fontId="0" fillId="0" borderId="1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5541-6074-4C5E-B131-7466FA391955}">
  <sheetPr codeName="Sheet1"/>
  <dimension ref="B1:L18"/>
  <sheetViews>
    <sheetView workbookViewId="0">
      <selection activeCell="E11" sqref="E11"/>
    </sheetView>
  </sheetViews>
  <sheetFormatPr defaultRowHeight="14.4" x14ac:dyDescent="0.3"/>
  <cols>
    <col min="5" max="5" width="17.44140625" bestFit="1" customWidth="1"/>
    <col min="6" max="6" width="17.6640625" bestFit="1" customWidth="1"/>
    <col min="7" max="7" width="23.5546875" bestFit="1" customWidth="1"/>
    <col min="8" max="8" width="11.109375" bestFit="1" customWidth="1"/>
    <col min="9" max="9" width="20.44140625" bestFit="1" customWidth="1"/>
    <col min="10" max="10" width="10.6640625" bestFit="1" customWidth="1"/>
    <col min="11" max="11" width="20" bestFit="1" customWidth="1"/>
    <col min="12" max="12" width="9.5546875" bestFit="1" customWidth="1"/>
  </cols>
  <sheetData>
    <row r="1" spans="2:12" x14ac:dyDescent="0.3">
      <c r="B1" t="str">
        <f>ComputeDate!C2</f>
        <v>Dictionary_ComputeDate_$1$2:0</v>
      </c>
    </row>
    <row r="5" spans="2:12" x14ac:dyDescent="0.3">
      <c r="F5" t="s">
        <v>3</v>
      </c>
      <c r="G5" t="s">
        <v>2</v>
      </c>
      <c r="H5" t="s">
        <v>9</v>
      </c>
      <c r="I5" t="s">
        <v>8</v>
      </c>
      <c r="J5" t="s">
        <v>10</v>
      </c>
      <c r="K5" t="s">
        <v>25</v>
      </c>
      <c r="L5" t="s">
        <v>24</v>
      </c>
    </row>
    <row r="6" spans="2:12" x14ac:dyDescent="0.3">
      <c r="F6" s="1">
        <v>44746</v>
      </c>
      <c r="G6" s="1">
        <v>45166</v>
      </c>
      <c r="H6" s="1">
        <v>46557</v>
      </c>
      <c r="I6" s="1">
        <v>46558</v>
      </c>
      <c r="J6" s="1">
        <v>46384</v>
      </c>
      <c r="K6" s="1">
        <v>46385</v>
      </c>
      <c r="L6" s="1">
        <v>45074</v>
      </c>
    </row>
    <row r="7" spans="2:12" x14ac:dyDescent="0.3"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11</v>
      </c>
      <c r="L7" t="s">
        <v>0</v>
      </c>
    </row>
    <row r="8" spans="2:12" x14ac:dyDescent="0.3">
      <c r="E8" s="2" t="s">
        <v>5</v>
      </c>
      <c r="F8" t="b">
        <f>_xll.oxlIsBusinessDay($F$6,F7)</f>
        <v>0</v>
      </c>
      <c r="G8" t="b">
        <f>_xll.oxlIsBusinessDay(G6,G7)</f>
        <v>1</v>
      </c>
      <c r="H8" t="b">
        <f>_xll.oxlIsBusinessDay(H6,H7)</f>
        <v>0</v>
      </c>
      <c r="I8" t="b">
        <f>_xll.oxlIsBusinessDay(I6,I7)</f>
        <v>0</v>
      </c>
      <c r="J8" t="b">
        <f>_xll.oxlIsBusinessDay(J6,J7)</f>
        <v>1</v>
      </c>
      <c r="K8" t="b">
        <f>_xll.oxlIsBusinessDay(K6,K7)</f>
        <v>1</v>
      </c>
      <c r="L8" t="b">
        <f>_xll.oxlIsBusinessDay(L6,L7)</f>
        <v>0</v>
      </c>
    </row>
    <row r="10" spans="2:12" x14ac:dyDescent="0.3">
      <c r="F10" t="s">
        <v>1</v>
      </c>
      <c r="G10" t="s">
        <v>1</v>
      </c>
      <c r="H10" t="s">
        <v>1</v>
      </c>
      <c r="I10" t="s">
        <v>1</v>
      </c>
      <c r="J10" t="s">
        <v>1</v>
      </c>
      <c r="K10" t="s">
        <v>12</v>
      </c>
      <c r="L10" t="s">
        <v>1</v>
      </c>
    </row>
    <row r="11" spans="2:12" x14ac:dyDescent="0.3">
      <c r="E11" s="2" t="s">
        <v>5</v>
      </c>
      <c r="F11" t="b">
        <f>_xll.oxlIsBusinessDay(F$6,F10)</f>
        <v>1</v>
      </c>
      <c r="G11" t="b">
        <f>_xll.oxlIsBusinessDay(G$6,G10)</f>
        <v>0</v>
      </c>
      <c r="H11" t="b">
        <f>_xll.oxlIsBusinessDay(H$6,H10)</f>
        <v>0</v>
      </c>
      <c r="I11" t="b">
        <f>_xll.oxlIsBusinessDay(I$6,I10)</f>
        <v>0</v>
      </c>
      <c r="J11" t="b">
        <f>_xll.oxlIsBusinessDay(J$6,J10)</f>
        <v>0</v>
      </c>
      <c r="K11" t="b">
        <f>_xll.oxlIsBusinessDay(K$6,K10)</f>
        <v>1</v>
      </c>
      <c r="L11" t="b">
        <f>_xll.oxlIsBusinessDay(L6,L10)</f>
        <v>0</v>
      </c>
    </row>
    <row r="13" spans="2:12" x14ac:dyDescent="0.3">
      <c r="F13" t="s">
        <v>4</v>
      </c>
      <c r="G13" t="s">
        <v>4</v>
      </c>
      <c r="H13" t="s">
        <v>16</v>
      </c>
      <c r="I13" t="s">
        <v>4</v>
      </c>
      <c r="J13" t="s">
        <v>4</v>
      </c>
      <c r="K13" t="s">
        <v>13</v>
      </c>
      <c r="L13" t="s">
        <v>13</v>
      </c>
    </row>
    <row r="14" spans="2:12" x14ac:dyDescent="0.3">
      <c r="E14" s="2" t="s">
        <v>5</v>
      </c>
      <c r="F14" t="b">
        <f>_xll.oxlIsBusinessDay(F$6,F13)</f>
        <v>0</v>
      </c>
      <c r="G14" t="b">
        <f>_xll.oxlIsBusinessDay(G$6,G13)</f>
        <v>0</v>
      </c>
      <c r="H14" t="b">
        <f>_xll.oxlIsBusinessDay(H$6,H13)</f>
        <v>0</v>
      </c>
      <c r="I14" t="b">
        <f>_xll.oxlIsBusinessDay(I$6,I13)</f>
        <v>0</v>
      </c>
      <c r="J14" t="b">
        <f>_xll.oxlIsBusinessDay(J$6,J13)</f>
        <v>0</v>
      </c>
      <c r="K14" t="b">
        <f>_xll.oxlIsBusinessDay(K$6,K13)</f>
        <v>1</v>
      </c>
      <c r="L14" t="b">
        <f>_xll.oxlIsBusinessDay(L$6,L13)</f>
        <v>0</v>
      </c>
    </row>
    <row r="17" spans="5:12" x14ac:dyDescent="0.3">
      <c r="F17" t="s">
        <v>6</v>
      </c>
      <c r="G17" t="s">
        <v>6</v>
      </c>
      <c r="H17" t="s">
        <v>15</v>
      </c>
      <c r="I17" t="s">
        <v>6</v>
      </c>
      <c r="J17" t="s">
        <v>6</v>
      </c>
      <c r="K17" t="s">
        <v>14</v>
      </c>
      <c r="L17" t="s">
        <v>6</v>
      </c>
    </row>
    <row r="18" spans="5:12" x14ac:dyDescent="0.3">
      <c r="E18" s="2" t="s">
        <v>7</v>
      </c>
      <c r="F18" t="b">
        <f>_xll.oxlIsHolidayDay(F$6,F$17)</f>
        <v>1</v>
      </c>
      <c r="G18" t="b">
        <f>_xll.oxlIsHolidayDay(G$6,G$17)</f>
        <v>1</v>
      </c>
      <c r="H18" t="b">
        <f>_xll.oxlIsHolidayDay(H$6,H$17)</f>
        <v>1</v>
      </c>
      <c r="I18" t="b">
        <f>_xll.oxlIsHolidayDay(I$6,I$17)</f>
        <v>1</v>
      </c>
      <c r="J18" t="b">
        <f>_xll.oxlIsHolidayDay(J$6,J$17)</f>
        <v>1</v>
      </c>
      <c r="K18" t="b">
        <f>_xll.oxlIsHolidayDay(K$6,K$17)</f>
        <v>0</v>
      </c>
      <c r="L18" t="b">
        <f>_xll.oxlIsHolidayDay(L$6,L$17)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CD9EC-9790-480B-9B33-A26F15505398}">
  <sheetPr codeName="Sheet2"/>
  <dimension ref="A2:M54"/>
  <sheetViews>
    <sheetView topLeftCell="A18" workbookViewId="0">
      <selection activeCell="C47" sqref="C47"/>
    </sheetView>
  </sheetViews>
  <sheetFormatPr defaultRowHeight="14.4" x14ac:dyDescent="0.3"/>
  <cols>
    <col min="1" max="2" width="10.6640625" bestFit="1" customWidth="1"/>
    <col min="3" max="3" width="10.44140625" bestFit="1" customWidth="1"/>
    <col min="4" max="5" width="10.6640625" bestFit="1" customWidth="1"/>
    <col min="6" max="6" width="10.44140625" bestFit="1" customWidth="1"/>
    <col min="7" max="8" width="10.6640625" bestFit="1" customWidth="1"/>
    <col min="9" max="9" width="10.44140625" bestFit="1" customWidth="1"/>
    <col min="12" max="13" width="9.5546875" bestFit="1" customWidth="1"/>
  </cols>
  <sheetData>
    <row r="2" spans="1:13" x14ac:dyDescent="0.3">
      <c r="A2" s="12" t="s">
        <v>21</v>
      </c>
      <c r="B2" s="13"/>
      <c r="C2" s="14"/>
      <c r="G2" s="12" t="s">
        <v>22</v>
      </c>
      <c r="H2" s="13"/>
      <c r="I2" s="14"/>
    </row>
    <row r="3" spans="1:13" x14ac:dyDescent="0.3">
      <c r="A3" s="8" t="s">
        <v>17</v>
      </c>
      <c r="B3" s="8" t="s">
        <v>18</v>
      </c>
      <c r="C3" s="8" t="s">
        <v>19</v>
      </c>
      <c r="G3" s="8" t="s">
        <v>17</v>
      </c>
      <c r="H3" s="8" t="s">
        <v>18</v>
      </c>
      <c r="I3" s="8" t="s">
        <v>19</v>
      </c>
    </row>
    <row r="4" spans="1:13" x14ac:dyDescent="0.3">
      <c r="A4" s="9">
        <v>39097</v>
      </c>
      <c r="B4" s="10">
        <v>39112</v>
      </c>
      <c r="C4" s="11">
        <f>_xll.oxlComputeDayCount(A4,B4,A$2)</f>
        <v>15</v>
      </c>
      <c r="D4" s="15">
        <f>C4/360</f>
        <v>4.1666666666666664E-2</v>
      </c>
      <c r="E4" s="15">
        <f>_xll.oxlComputeYearFraction(A4,B4,$A$2)</f>
        <v>4.1666666666666664E-2</v>
      </c>
      <c r="F4" s="15">
        <f>D4-E4</f>
        <v>0</v>
      </c>
      <c r="G4" s="4">
        <v>39097</v>
      </c>
      <c r="H4" s="1">
        <v>39112</v>
      </c>
      <c r="I4" s="3">
        <f>_xll.oxlComputeDayCount(G4,H4,G$2)</f>
        <v>15</v>
      </c>
      <c r="L4" s="1"/>
      <c r="M4" s="1"/>
    </row>
    <row r="5" spans="1:13" x14ac:dyDescent="0.3">
      <c r="A5" s="4">
        <v>39097</v>
      </c>
      <c r="B5" s="1">
        <v>39128</v>
      </c>
      <c r="C5" s="3">
        <f>_xll.oxlComputeDayCount(A5,B5,A$2)</f>
        <v>30</v>
      </c>
      <c r="D5" s="15">
        <f>C5/360</f>
        <v>8.3333333333333329E-2</v>
      </c>
      <c r="E5" s="15">
        <f>_xll.oxlComputeYearFraction(A5,B5,$A$2)</f>
        <v>8.3333333333333329E-2</v>
      </c>
      <c r="F5" s="15">
        <f t="shared" ref="F5:F25" si="0">D5-E5</f>
        <v>0</v>
      </c>
      <c r="G5" s="4">
        <v>39097</v>
      </c>
      <c r="H5" s="1">
        <v>39128</v>
      </c>
      <c r="I5" s="3">
        <f>_xll.oxlComputeDayCount(G5,H5,G$2)</f>
        <v>30</v>
      </c>
    </row>
    <row r="6" spans="1:13" x14ac:dyDescent="0.3">
      <c r="A6" s="4">
        <v>39097</v>
      </c>
      <c r="B6" s="1">
        <v>39278</v>
      </c>
      <c r="C6" s="3">
        <f>_xll.oxlComputeDayCount(A6,B6,A$2)</f>
        <v>180</v>
      </c>
      <c r="D6" s="15">
        <f t="shared" ref="D6:D25" si="1">C6/360</f>
        <v>0.5</v>
      </c>
      <c r="E6" s="15">
        <f>_xll.oxlComputeYearFraction(A6,B6,$A$2)</f>
        <v>0.5</v>
      </c>
      <c r="F6" s="15">
        <f t="shared" si="0"/>
        <v>0</v>
      </c>
      <c r="G6" s="4">
        <v>39097</v>
      </c>
      <c r="H6" s="1">
        <v>39278</v>
      </c>
      <c r="I6" s="3">
        <f>_xll.oxlComputeDayCount(G6,H6,G$2)</f>
        <v>180</v>
      </c>
    </row>
    <row r="7" spans="1:13" x14ac:dyDescent="0.3">
      <c r="A7" s="4">
        <v>39355</v>
      </c>
      <c r="B7" s="1">
        <v>39538</v>
      </c>
      <c r="C7" s="3">
        <f>_xll.oxlComputeDayCount(A7,B7,A$2)</f>
        <v>180</v>
      </c>
      <c r="D7" s="15">
        <f t="shared" si="1"/>
        <v>0.5</v>
      </c>
      <c r="E7" s="15">
        <f>_xll.oxlComputeYearFraction(A7,B7,$A$2)</f>
        <v>0.5</v>
      </c>
      <c r="F7" s="15">
        <f t="shared" si="0"/>
        <v>0</v>
      </c>
      <c r="G7" s="4">
        <v>39355</v>
      </c>
      <c r="H7" s="1">
        <v>39538</v>
      </c>
      <c r="I7" s="3">
        <f>_xll.oxlComputeDayCount(G7,H7,G$2)</f>
        <v>180</v>
      </c>
    </row>
    <row r="8" spans="1:13" x14ac:dyDescent="0.3">
      <c r="A8" s="4">
        <v>39355</v>
      </c>
      <c r="B8" s="1">
        <v>39386</v>
      </c>
      <c r="C8" s="3">
        <f>_xll.oxlComputeDayCount(A8,B8,A$2)</f>
        <v>30</v>
      </c>
      <c r="D8" s="15">
        <f t="shared" si="1"/>
        <v>8.3333333333333329E-2</v>
      </c>
      <c r="E8" s="15">
        <f>_xll.oxlComputeYearFraction(A8,B8,$A$2)</f>
        <v>8.3333333333333329E-2</v>
      </c>
      <c r="F8" s="15">
        <f t="shared" si="0"/>
        <v>0</v>
      </c>
      <c r="G8" s="4">
        <v>39355</v>
      </c>
      <c r="H8" s="1">
        <v>39386</v>
      </c>
      <c r="I8" s="3">
        <f>_xll.oxlComputeDayCount(G8,H8,G$2)</f>
        <v>30</v>
      </c>
    </row>
    <row r="9" spans="1:13" x14ac:dyDescent="0.3">
      <c r="A9" s="4">
        <v>39355</v>
      </c>
      <c r="B9" s="1">
        <v>39721</v>
      </c>
      <c r="C9" s="3">
        <f>_xll.oxlComputeDayCount(A9,B9,A$2)</f>
        <v>360</v>
      </c>
      <c r="D9" s="15">
        <f t="shared" si="1"/>
        <v>1</v>
      </c>
      <c r="E9" s="15">
        <f>_xll.oxlComputeYearFraction(A9,B9,$A$2)</f>
        <v>1</v>
      </c>
      <c r="F9" s="15">
        <f t="shared" si="0"/>
        <v>0</v>
      </c>
      <c r="G9" s="4">
        <v>39355</v>
      </c>
      <c r="H9" s="1">
        <v>39721</v>
      </c>
      <c r="I9" s="3">
        <f>_xll.oxlComputeDayCount(G9,H9,G$2)</f>
        <v>360</v>
      </c>
    </row>
    <row r="10" spans="1:13" x14ac:dyDescent="0.3">
      <c r="A10" s="4">
        <v>39097</v>
      </c>
      <c r="B10" s="1">
        <v>39113</v>
      </c>
      <c r="C10" s="3">
        <f>_xll.oxlComputeDayCount(A10,B10,A$2)</f>
        <v>16</v>
      </c>
      <c r="D10" s="15">
        <f t="shared" si="1"/>
        <v>4.4444444444444446E-2</v>
      </c>
      <c r="E10" s="15">
        <f>_xll.oxlComputeYearFraction(A10,B10,$A$2)</f>
        <v>4.4444444444444446E-2</v>
      </c>
      <c r="F10" s="15">
        <f t="shared" si="0"/>
        <v>0</v>
      </c>
      <c r="G10" s="4">
        <v>39097</v>
      </c>
      <c r="H10" s="1">
        <v>39113</v>
      </c>
      <c r="I10" s="3">
        <f>_xll.oxlComputeDayCount(G10,H10,G$2)</f>
        <v>15</v>
      </c>
    </row>
    <row r="11" spans="1:13" x14ac:dyDescent="0.3">
      <c r="A11" s="4">
        <v>39113</v>
      </c>
      <c r="B11" s="1">
        <v>39141</v>
      </c>
      <c r="C11" s="3">
        <f>_xll.oxlComputeDayCount(A11,B11,A$2)</f>
        <v>28</v>
      </c>
      <c r="D11" s="15">
        <f t="shared" si="1"/>
        <v>7.7777777777777779E-2</v>
      </c>
      <c r="E11" s="15">
        <f>_xll.oxlComputeYearFraction(A11,B11,$A$2)</f>
        <v>7.7777777777777779E-2</v>
      </c>
      <c r="F11" s="15">
        <f t="shared" si="0"/>
        <v>0</v>
      </c>
      <c r="G11" s="4">
        <v>39113</v>
      </c>
      <c r="H11" s="1">
        <v>39141</v>
      </c>
      <c r="I11" s="3">
        <f>_xll.oxlComputeDayCount(G11,H11,G$2)</f>
        <v>28</v>
      </c>
    </row>
    <row r="12" spans="1:13" x14ac:dyDescent="0.3">
      <c r="A12" s="4">
        <v>39141</v>
      </c>
      <c r="B12" s="1">
        <v>39172</v>
      </c>
      <c r="C12" s="3">
        <f>_xll.oxlComputeDayCount(A12,B12,A$2)</f>
        <v>33</v>
      </c>
      <c r="D12" s="15">
        <f t="shared" si="1"/>
        <v>9.166666666666666E-2</v>
      </c>
      <c r="E12" s="15">
        <f>_xll.oxlComputeYearFraction(A12,B12,$A$2)</f>
        <v>9.166666666666666E-2</v>
      </c>
      <c r="F12" s="15">
        <f t="shared" si="0"/>
        <v>0</v>
      </c>
      <c r="G12" s="4">
        <v>39141</v>
      </c>
      <c r="H12" s="1">
        <v>39172</v>
      </c>
      <c r="I12" s="3">
        <f>_xll.oxlComputeDayCount(G12,H12,G$2)</f>
        <v>32</v>
      </c>
    </row>
    <row r="13" spans="1:13" x14ac:dyDescent="0.3">
      <c r="A13" s="4">
        <v>38960</v>
      </c>
      <c r="B13" s="1">
        <v>39141</v>
      </c>
      <c r="C13" s="3">
        <f>_xll.oxlComputeDayCount(A13,B13,A$2)</f>
        <v>178</v>
      </c>
      <c r="D13" s="15">
        <f t="shared" si="1"/>
        <v>0.49444444444444446</v>
      </c>
      <c r="E13" s="15">
        <f>_xll.oxlComputeYearFraction(A13,B13,$A$2)</f>
        <v>0.49444444444444446</v>
      </c>
      <c r="F13" s="15">
        <f t="shared" si="0"/>
        <v>0</v>
      </c>
      <c r="G13" s="4">
        <v>38960</v>
      </c>
      <c r="H13" s="1">
        <v>39141</v>
      </c>
      <c r="I13" s="3">
        <f>_xll.oxlComputeDayCount(G13,H13,G$2)</f>
        <v>178</v>
      </c>
    </row>
    <row r="14" spans="1:13" x14ac:dyDescent="0.3">
      <c r="A14" s="4">
        <v>39141</v>
      </c>
      <c r="B14" s="1">
        <v>39325</v>
      </c>
      <c r="C14" s="3">
        <f>_xll.oxlComputeDayCount(A14,B14,A$2)</f>
        <v>183</v>
      </c>
      <c r="D14" s="15">
        <f t="shared" si="1"/>
        <v>0.5083333333333333</v>
      </c>
      <c r="E14" s="15">
        <f>_xll.oxlComputeYearFraction(A14,B14,$A$2)</f>
        <v>0.5083333333333333</v>
      </c>
      <c r="F14" s="15">
        <f t="shared" si="0"/>
        <v>0</v>
      </c>
      <c r="G14" s="4">
        <v>39141</v>
      </c>
      <c r="H14" s="1">
        <v>39325</v>
      </c>
      <c r="I14" s="3">
        <f>_xll.oxlComputeDayCount(G14,H14,G$2)</f>
        <v>182</v>
      </c>
    </row>
    <row r="15" spans="1:13" x14ac:dyDescent="0.3">
      <c r="A15" s="4">
        <v>39127</v>
      </c>
      <c r="B15" s="1">
        <v>39141</v>
      </c>
      <c r="C15" s="3">
        <f>_xll.oxlComputeDayCount(A15,B15,A$2)</f>
        <v>14</v>
      </c>
      <c r="D15" s="15">
        <f t="shared" si="1"/>
        <v>3.888888888888889E-2</v>
      </c>
      <c r="E15" s="15">
        <f>_xll.oxlComputeYearFraction(A15,B15,$A$2)</f>
        <v>3.888888888888889E-2</v>
      </c>
      <c r="F15" s="15">
        <f t="shared" si="0"/>
        <v>0</v>
      </c>
      <c r="G15" s="4">
        <v>39127</v>
      </c>
      <c r="H15" s="1">
        <v>39141</v>
      </c>
      <c r="I15" s="3">
        <f>_xll.oxlComputeDayCount(G15,H15,G$2)</f>
        <v>14</v>
      </c>
    </row>
    <row r="16" spans="1:13" x14ac:dyDescent="0.3">
      <c r="A16" s="4">
        <v>39139</v>
      </c>
      <c r="B16" s="1">
        <v>39507</v>
      </c>
      <c r="C16" s="3">
        <f>_xll.oxlComputeDayCount(A16,B16,A$2)</f>
        <v>363</v>
      </c>
      <c r="D16" s="15">
        <f t="shared" si="1"/>
        <v>1.0083333333333333</v>
      </c>
      <c r="E16" s="15">
        <f>_xll.oxlComputeYearFraction(A16,B16,$A$2)</f>
        <v>1.0083333333333333</v>
      </c>
      <c r="F16" s="15">
        <f t="shared" si="0"/>
        <v>0</v>
      </c>
      <c r="G16" s="4">
        <v>39139</v>
      </c>
      <c r="H16" s="1">
        <v>39507</v>
      </c>
      <c r="I16" s="3">
        <f>_xll.oxlComputeDayCount(G16,H16,G$2)</f>
        <v>363</v>
      </c>
    </row>
    <row r="17" spans="1:9" x14ac:dyDescent="0.3">
      <c r="A17" s="4">
        <v>39507</v>
      </c>
      <c r="B17" s="1">
        <v>39872</v>
      </c>
      <c r="C17" s="3">
        <f>_xll.oxlComputeDayCount(A17,B17,A$2)</f>
        <v>359</v>
      </c>
      <c r="D17" s="15">
        <f t="shared" si="1"/>
        <v>0.99722222222222223</v>
      </c>
      <c r="E17" s="15">
        <f>_xll.oxlComputeYearFraction(A17,B17,$A$2)</f>
        <v>0.99722222222222223</v>
      </c>
      <c r="F17" s="15">
        <f t="shared" si="0"/>
        <v>0</v>
      </c>
      <c r="G17" s="4">
        <v>39507</v>
      </c>
      <c r="H17" s="1">
        <v>39872</v>
      </c>
      <c r="I17" s="3">
        <f>_xll.oxlComputeDayCount(G17,H17,G$2)</f>
        <v>359</v>
      </c>
    </row>
    <row r="18" spans="1:9" x14ac:dyDescent="0.3">
      <c r="A18" s="4">
        <v>39507</v>
      </c>
      <c r="B18" s="1">
        <v>39537</v>
      </c>
      <c r="C18" s="3">
        <f>_xll.oxlComputeDayCount(A18,B18,A$2)</f>
        <v>31</v>
      </c>
      <c r="D18" s="15">
        <f t="shared" si="1"/>
        <v>8.611111111111111E-2</v>
      </c>
      <c r="E18" s="15">
        <f>_xll.oxlComputeYearFraction(A18,B18,$A$2)</f>
        <v>8.611111111111111E-2</v>
      </c>
      <c r="F18" s="15">
        <f t="shared" si="0"/>
        <v>0</v>
      </c>
      <c r="G18" s="4">
        <v>39507</v>
      </c>
      <c r="H18" s="1">
        <v>39537</v>
      </c>
      <c r="I18" s="3">
        <f>_xll.oxlComputeDayCount(G18,H18,G$2)</f>
        <v>31</v>
      </c>
    </row>
    <row r="19" spans="1:9" x14ac:dyDescent="0.3">
      <c r="A19" s="4">
        <v>39507</v>
      </c>
      <c r="B19" s="1">
        <v>39538</v>
      </c>
      <c r="C19" s="3">
        <f>_xll.oxlComputeDayCount(A19,B19,A$2)</f>
        <v>32</v>
      </c>
      <c r="D19" s="15">
        <f t="shared" si="1"/>
        <v>8.8888888888888892E-2</v>
      </c>
      <c r="E19" s="15">
        <f>_xll.oxlComputeYearFraction(A19,B19,$A$2)</f>
        <v>8.8888888888888892E-2</v>
      </c>
      <c r="F19" s="15">
        <f t="shared" si="0"/>
        <v>0</v>
      </c>
      <c r="G19" s="4">
        <v>39507</v>
      </c>
      <c r="H19" s="1">
        <v>39538</v>
      </c>
      <c r="I19" s="3">
        <f>_xll.oxlComputeDayCount(G19,H19,G$2)</f>
        <v>31</v>
      </c>
    </row>
    <row r="20" spans="1:9" x14ac:dyDescent="0.3">
      <c r="A20" s="4">
        <v>39141</v>
      </c>
      <c r="B20" s="1">
        <v>39146</v>
      </c>
      <c r="C20" s="3">
        <f>_xll.oxlComputeDayCount(A20,B20,A$2)</f>
        <v>7</v>
      </c>
      <c r="D20" s="15">
        <f t="shared" si="1"/>
        <v>1.9444444444444445E-2</v>
      </c>
      <c r="E20" s="15">
        <f>_xll.oxlComputeYearFraction(A20,B20,$A$2)</f>
        <v>1.9444444444444445E-2</v>
      </c>
      <c r="F20" s="15">
        <f t="shared" si="0"/>
        <v>0</v>
      </c>
      <c r="G20" s="4">
        <v>39141</v>
      </c>
      <c r="H20" s="1">
        <v>39146</v>
      </c>
      <c r="I20" s="3">
        <f>_xll.oxlComputeDayCount(G20,H20,G$2)</f>
        <v>7</v>
      </c>
    </row>
    <row r="21" spans="1:9" x14ac:dyDescent="0.3">
      <c r="A21" s="4">
        <v>39386</v>
      </c>
      <c r="B21" s="1">
        <v>39414</v>
      </c>
      <c r="C21" s="3">
        <f>_xll.oxlComputeDayCount(A21,B21,A$2)</f>
        <v>28</v>
      </c>
      <c r="D21" s="15">
        <f t="shared" si="1"/>
        <v>7.7777777777777779E-2</v>
      </c>
      <c r="E21" s="15">
        <f>_xll.oxlComputeYearFraction(A21,B21,$A$2)</f>
        <v>7.7777777777777779E-2</v>
      </c>
      <c r="F21" s="15">
        <f t="shared" si="0"/>
        <v>0</v>
      </c>
      <c r="G21" s="4">
        <v>39386</v>
      </c>
      <c r="H21" s="1">
        <v>39414</v>
      </c>
      <c r="I21" s="3">
        <f>_xll.oxlComputeDayCount(G21,H21,G$2)</f>
        <v>28</v>
      </c>
    </row>
    <row r="22" spans="1:9" x14ac:dyDescent="0.3">
      <c r="A22" s="4">
        <v>39325</v>
      </c>
      <c r="B22" s="1">
        <v>39507</v>
      </c>
      <c r="C22" s="3">
        <f>_xll.oxlComputeDayCount(A22,B22,A$2)</f>
        <v>179</v>
      </c>
      <c r="D22" s="15">
        <f t="shared" si="1"/>
        <v>0.49722222222222223</v>
      </c>
      <c r="E22" s="15">
        <f>_xll.oxlComputeYearFraction(A22,B22,$A$2)</f>
        <v>0.49722222222222223</v>
      </c>
      <c r="F22" s="15">
        <f t="shared" si="0"/>
        <v>0</v>
      </c>
      <c r="G22" s="4">
        <v>39325</v>
      </c>
      <c r="H22" s="1">
        <v>39507</v>
      </c>
      <c r="I22" s="3">
        <f>_xll.oxlComputeDayCount(G22,H22,G$2)</f>
        <v>179</v>
      </c>
    </row>
    <row r="23" spans="1:9" x14ac:dyDescent="0.3">
      <c r="A23" s="4">
        <v>39507</v>
      </c>
      <c r="B23" s="1">
        <v>39691</v>
      </c>
      <c r="C23" s="3">
        <f>_xll.oxlComputeDayCount(A23,B23,A$2)</f>
        <v>182</v>
      </c>
      <c r="D23" s="15">
        <f t="shared" si="1"/>
        <v>0.50555555555555554</v>
      </c>
      <c r="E23" s="15">
        <f>_xll.oxlComputeYearFraction(A23,B23,$A$2)</f>
        <v>0.50555555555555554</v>
      </c>
      <c r="F23" s="15">
        <f t="shared" si="0"/>
        <v>0</v>
      </c>
      <c r="G23" s="4">
        <v>39507</v>
      </c>
      <c r="H23" s="1">
        <v>39691</v>
      </c>
      <c r="I23" s="3">
        <f>_xll.oxlComputeDayCount(G23,H23,G$2)</f>
        <v>181</v>
      </c>
    </row>
    <row r="24" spans="1:9" x14ac:dyDescent="0.3">
      <c r="A24" s="4">
        <v>39691</v>
      </c>
      <c r="B24" s="1">
        <v>39872</v>
      </c>
      <c r="C24" s="3">
        <f>_xll.oxlComputeDayCount(A24,B24,A$2)</f>
        <v>178</v>
      </c>
      <c r="D24" s="15">
        <f t="shared" si="1"/>
        <v>0.49444444444444446</v>
      </c>
      <c r="E24" s="15">
        <f>_xll.oxlComputeYearFraction(A24,B24,$A$2)</f>
        <v>0.49444444444444446</v>
      </c>
      <c r="F24" s="15">
        <f t="shared" si="0"/>
        <v>0</v>
      </c>
      <c r="G24" s="4">
        <v>39691</v>
      </c>
      <c r="H24" s="1">
        <v>39872</v>
      </c>
      <c r="I24" s="3">
        <f>_xll.oxlComputeDayCount(G24,H24,G$2)</f>
        <v>178</v>
      </c>
    </row>
    <row r="25" spans="1:9" x14ac:dyDescent="0.3">
      <c r="A25" s="5">
        <v>39872</v>
      </c>
      <c r="B25" s="6">
        <v>40056</v>
      </c>
      <c r="C25" s="7">
        <f>_xll.oxlComputeDayCount(A25,B25,A$2)</f>
        <v>183</v>
      </c>
      <c r="D25" s="15">
        <f t="shared" si="1"/>
        <v>0.5083333333333333</v>
      </c>
      <c r="E25" s="15">
        <f>_xll.oxlComputeYearFraction(A25,B25,$A$2)</f>
        <v>0.5083333333333333</v>
      </c>
      <c r="F25" s="15">
        <f t="shared" si="0"/>
        <v>0</v>
      </c>
      <c r="G25" s="5">
        <v>39872</v>
      </c>
      <c r="H25" s="6">
        <v>40056</v>
      </c>
      <c r="I25" s="7">
        <f>_xll.oxlComputeDayCount(G25,H25,G$2)</f>
        <v>182</v>
      </c>
    </row>
    <row r="27" spans="1:9" x14ac:dyDescent="0.3">
      <c r="A27" s="12" t="s">
        <v>20</v>
      </c>
      <c r="B27" s="13"/>
      <c r="C27" s="14"/>
      <c r="G27" s="12" t="s">
        <v>23</v>
      </c>
      <c r="H27" s="13"/>
      <c r="I27" s="14"/>
    </row>
    <row r="28" spans="1:9" x14ac:dyDescent="0.3">
      <c r="A28" s="8" t="s">
        <v>17</v>
      </c>
      <c r="B28" s="8" t="s">
        <v>18</v>
      </c>
      <c r="C28" s="8" t="s">
        <v>19</v>
      </c>
      <c r="G28" s="8" t="s">
        <v>17</v>
      </c>
      <c r="H28" s="8" t="s">
        <v>18</v>
      </c>
      <c r="I28" s="8" t="s">
        <v>19</v>
      </c>
    </row>
    <row r="29" spans="1:9" x14ac:dyDescent="0.3">
      <c r="A29" s="4">
        <v>39097</v>
      </c>
      <c r="B29" s="1">
        <v>39112</v>
      </c>
      <c r="C29" s="3">
        <f>_xll.oxlComputeDayCount(A29,B29,A$27)</f>
        <v>15</v>
      </c>
      <c r="G29" s="9">
        <v>39097</v>
      </c>
      <c r="H29" s="10">
        <v>39112</v>
      </c>
      <c r="I29" s="11">
        <f>_xll.oxlComputeDayCount(G29,H29,G$27)</f>
        <v>15</v>
      </c>
    </row>
    <row r="30" spans="1:9" x14ac:dyDescent="0.3">
      <c r="A30" s="4">
        <v>39097</v>
      </c>
      <c r="B30" s="1">
        <v>39128</v>
      </c>
      <c r="C30" s="3">
        <f>_xll.oxlComputeDayCount(A30,B30,A$27)</f>
        <v>31</v>
      </c>
      <c r="G30" s="4">
        <v>39097</v>
      </c>
      <c r="H30" s="1">
        <v>39128</v>
      </c>
      <c r="I30" s="3">
        <f>_xll.oxlComputeDayCount(G30,H30,G$27)</f>
        <v>30</v>
      </c>
    </row>
    <row r="31" spans="1:9" x14ac:dyDescent="0.3">
      <c r="A31" s="4">
        <v>39097</v>
      </c>
      <c r="B31" s="1">
        <v>39278</v>
      </c>
      <c r="C31" s="3">
        <f>_xll.oxlComputeDayCount(A31,B31,A$27)</f>
        <v>181</v>
      </c>
      <c r="G31" s="4">
        <v>39097</v>
      </c>
      <c r="H31" s="1">
        <v>39278</v>
      </c>
      <c r="I31" s="3">
        <f>_xll.oxlComputeDayCount(G31,H31,G$27)</f>
        <v>180</v>
      </c>
    </row>
    <row r="32" spans="1:9" x14ac:dyDescent="0.3">
      <c r="A32" s="4">
        <v>39355</v>
      </c>
      <c r="B32" s="1">
        <v>39538</v>
      </c>
      <c r="C32" s="3">
        <f>_xll.oxlComputeDayCount(A32,B32,A$27)</f>
        <v>183</v>
      </c>
      <c r="G32" s="4">
        <v>39355</v>
      </c>
      <c r="H32" s="1">
        <v>39538</v>
      </c>
      <c r="I32" s="3">
        <f>_xll.oxlComputeDayCount(G32,H32,G$27)</f>
        <v>180</v>
      </c>
    </row>
    <row r="33" spans="1:9" x14ac:dyDescent="0.3">
      <c r="A33" s="4">
        <v>39355</v>
      </c>
      <c r="B33" s="1">
        <v>39386</v>
      </c>
      <c r="C33" s="3">
        <f>_xll.oxlComputeDayCount(A33,B33,A$27)</f>
        <v>31</v>
      </c>
      <c r="G33" s="4">
        <v>39355</v>
      </c>
      <c r="H33" s="1">
        <v>39386</v>
      </c>
      <c r="I33" s="3">
        <f>_xll.oxlComputeDayCount(G33,H33,G$27)</f>
        <v>30</v>
      </c>
    </row>
    <row r="34" spans="1:9" x14ac:dyDescent="0.3">
      <c r="A34" s="4">
        <v>39355</v>
      </c>
      <c r="B34" s="1">
        <v>39721</v>
      </c>
      <c r="C34" s="3">
        <f>_xll.oxlComputeDayCount(A34,B34,A$27)</f>
        <v>366</v>
      </c>
      <c r="G34" s="4">
        <v>39355</v>
      </c>
      <c r="H34" s="1">
        <v>39721</v>
      </c>
      <c r="I34" s="3">
        <f>_xll.oxlComputeDayCount(G34,H34,G$27)</f>
        <v>360</v>
      </c>
    </row>
    <row r="35" spans="1:9" x14ac:dyDescent="0.3">
      <c r="A35" s="4">
        <v>39097</v>
      </c>
      <c r="B35" s="1">
        <v>39113</v>
      </c>
      <c r="C35" s="3">
        <f>_xll.oxlComputeDayCount(A35,B35,A$27)</f>
        <v>16</v>
      </c>
      <c r="G35" s="4">
        <v>39097</v>
      </c>
      <c r="H35" s="1">
        <v>39113</v>
      </c>
      <c r="I35" s="3">
        <f>_xll.oxlComputeDayCount(G35,H35,G$27)</f>
        <v>15</v>
      </c>
    </row>
    <row r="36" spans="1:9" x14ac:dyDescent="0.3">
      <c r="A36" s="4">
        <v>39113</v>
      </c>
      <c r="B36" s="1">
        <v>39141</v>
      </c>
      <c r="C36" s="3">
        <f>_xll.oxlComputeDayCount(A36,B36,A$27)</f>
        <v>28</v>
      </c>
      <c r="G36" s="4">
        <v>39113</v>
      </c>
      <c r="H36" s="1">
        <v>39141</v>
      </c>
      <c r="I36" s="3">
        <f>_xll.oxlComputeDayCount(G36,H36,G$27)</f>
        <v>30</v>
      </c>
    </row>
    <row r="37" spans="1:9" x14ac:dyDescent="0.3">
      <c r="A37" s="4">
        <v>39141</v>
      </c>
      <c r="B37" s="1">
        <v>39172</v>
      </c>
      <c r="C37" s="3">
        <f>_xll.oxlComputeDayCount(A37,B37,A$27)</f>
        <v>31</v>
      </c>
      <c r="G37" s="4">
        <v>39141</v>
      </c>
      <c r="H37" s="1">
        <v>39172</v>
      </c>
      <c r="I37" s="3">
        <f>_xll.oxlComputeDayCount(G37,H37,G$27)</f>
        <v>30</v>
      </c>
    </row>
    <row r="38" spans="1:9" x14ac:dyDescent="0.3">
      <c r="A38" s="4">
        <v>38960</v>
      </c>
      <c r="B38" s="1">
        <v>39141</v>
      </c>
      <c r="C38" s="3">
        <f>_xll.oxlComputeDayCount(A38,B38,A$27)</f>
        <v>181</v>
      </c>
      <c r="G38" s="4">
        <v>38960</v>
      </c>
      <c r="H38" s="1">
        <v>39141</v>
      </c>
      <c r="I38" s="3">
        <f>_xll.oxlComputeDayCount(G38,H38,G$27)</f>
        <v>180</v>
      </c>
    </row>
    <row r="39" spans="1:9" x14ac:dyDescent="0.3">
      <c r="A39" s="4">
        <v>39141</v>
      </c>
      <c r="B39" s="1">
        <v>39325</v>
      </c>
      <c r="C39" s="3">
        <f>_xll.oxlComputeDayCount(A39,B39,A$27)</f>
        <v>184</v>
      </c>
      <c r="G39" s="4">
        <v>39141</v>
      </c>
      <c r="H39" s="1">
        <v>39325</v>
      </c>
      <c r="I39" s="3">
        <f>_xll.oxlComputeDayCount(G39,H39,G$27)</f>
        <v>180</v>
      </c>
    </row>
    <row r="40" spans="1:9" x14ac:dyDescent="0.3">
      <c r="A40" s="4">
        <v>39127</v>
      </c>
      <c r="B40" s="1">
        <v>39141</v>
      </c>
      <c r="C40" s="3">
        <f>_xll.oxlComputeDayCount(A40,B40,A$27)</f>
        <v>14</v>
      </c>
      <c r="G40" s="4">
        <v>39127</v>
      </c>
      <c r="H40" s="1">
        <v>39141</v>
      </c>
      <c r="I40" s="3">
        <f>_xll.oxlComputeDayCount(G40,H40,G$27)</f>
        <v>16</v>
      </c>
    </row>
    <row r="41" spans="1:9" x14ac:dyDescent="0.3">
      <c r="A41" s="4">
        <v>39139</v>
      </c>
      <c r="B41" s="1">
        <v>39507</v>
      </c>
      <c r="C41" s="3">
        <f>_xll.oxlComputeDayCount(A41,B41,A$27)</f>
        <v>368</v>
      </c>
      <c r="G41" s="4">
        <v>39139</v>
      </c>
      <c r="H41" s="1">
        <v>39507</v>
      </c>
      <c r="I41" s="3">
        <f>_xll.oxlComputeDayCount(G41,H41,G$27)</f>
        <v>364</v>
      </c>
    </row>
    <row r="42" spans="1:9" x14ac:dyDescent="0.3">
      <c r="A42" s="4">
        <v>39507</v>
      </c>
      <c r="B42" s="1">
        <v>39872</v>
      </c>
      <c r="C42" s="3">
        <f>_xll.oxlComputeDayCount(A42,B42,A$27)</f>
        <v>365</v>
      </c>
      <c r="G42" s="4">
        <v>39507</v>
      </c>
      <c r="H42" s="1">
        <v>39872</v>
      </c>
      <c r="I42" s="3">
        <f>_xll.oxlComputeDayCount(G42,H42,G$27)</f>
        <v>360</v>
      </c>
    </row>
    <row r="43" spans="1:9" x14ac:dyDescent="0.3">
      <c r="A43" s="4">
        <v>39507</v>
      </c>
      <c r="B43" s="1">
        <v>39537</v>
      </c>
      <c r="C43" s="3">
        <f>_xll.oxlComputeDayCount(A43,B43,A$27)</f>
        <v>30</v>
      </c>
      <c r="G43" s="4">
        <v>39507</v>
      </c>
      <c r="H43" s="1">
        <v>39537</v>
      </c>
      <c r="I43" s="3">
        <f>_xll.oxlComputeDayCount(G43,H43,G$27)</f>
        <v>30</v>
      </c>
    </row>
    <row r="44" spans="1:9" x14ac:dyDescent="0.3">
      <c r="A44" s="4">
        <v>39507</v>
      </c>
      <c r="B44" s="1">
        <v>39538</v>
      </c>
      <c r="C44" s="3">
        <f>_xll.oxlComputeDayCount(A44,B44,A$27)</f>
        <v>31</v>
      </c>
      <c r="G44" s="4">
        <v>39507</v>
      </c>
      <c r="H44" s="1">
        <v>39538</v>
      </c>
      <c r="I44" s="3">
        <f>_xll.oxlComputeDayCount(G44,H44,G$27)</f>
        <v>30</v>
      </c>
    </row>
    <row r="45" spans="1:9" x14ac:dyDescent="0.3">
      <c r="A45" s="4">
        <v>39141</v>
      </c>
      <c r="B45" s="1">
        <v>39146</v>
      </c>
      <c r="C45" s="3">
        <f>_xll.oxlComputeDayCount(A45,B45,A$27)</f>
        <v>5</v>
      </c>
      <c r="G45" s="4">
        <v>39141</v>
      </c>
      <c r="H45" s="1">
        <v>39146</v>
      </c>
      <c r="I45" s="3">
        <f>_xll.oxlComputeDayCount(G45,H45,G$27)</f>
        <v>5</v>
      </c>
    </row>
    <row r="46" spans="1:9" x14ac:dyDescent="0.3">
      <c r="A46" s="4">
        <v>39386</v>
      </c>
      <c r="B46" s="1">
        <v>39414</v>
      </c>
      <c r="C46" s="3">
        <f>_xll.oxlComputeDayCount(A46,B46,A$27)</f>
        <v>28</v>
      </c>
      <c r="G46" s="4">
        <v>39386</v>
      </c>
      <c r="H46" s="1">
        <v>39414</v>
      </c>
      <c r="I46" s="3">
        <f>_xll.oxlComputeDayCount(G46,H46,G$27)</f>
        <v>28</v>
      </c>
    </row>
    <row r="47" spans="1:9" x14ac:dyDescent="0.3">
      <c r="A47" s="4">
        <v>39325</v>
      </c>
      <c r="B47" s="1">
        <v>39507</v>
      </c>
      <c r="C47" s="3">
        <f>_xll.oxlComputeDayCount(A47,B47,A$27)</f>
        <v>182</v>
      </c>
      <c r="G47" s="4">
        <v>39325</v>
      </c>
      <c r="H47" s="1">
        <v>39507</v>
      </c>
      <c r="I47" s="3">
        <f>_xll.oxlComputeDayCount(G47,H47,G$27)</f>
        <v>180</v>
      </c>
    </row>
    <row r="48" spans="1:9" x14ac:dyDescent="0.3">
      <c r="A48" s="4">
        <v>39507</v>
      </c>
      <c r="B48" s="1">
        <v>39691</v>
      </c>
      <c r="C48" s="3">
        <f>_xll.oxlComputeDayCount(A48,B48,A$27)</f>
        <v>184</v>
      </c>
      <c r="G48" s="4">
        <v>39507</v>
      </c>
      <c r="H48" s="1">
        <v>39691</v>
      </c>
      <c r="I48" s="3">
        <f>_xll.oxlComputeDayCount(G48,H48,G$27)</f>
        <v>180</v>
      </c>
    </row>
    <row r="49" spans="1:9" x14ac:dyDescent="0.3">
      <c r="A49" s="4">
        <v>39691</v>
      </c>
      <c r="B49" s="1">
        <v>39872</v>
      </c>
      <c r="C49" s="3">
        <f>_xll.oxlComputeDayCount(A49,B49,A$27)</f>
        <v>181</v>
      </c>
      <c r="G49" s="4">
        <v>39691</v>
      </c>
      <c r="H49" s="1">
        <v>39872</v>
      </c>
      <c r="I49" s="3">
        <f>_xll.oxlComputeDayCount(G49,H49,G$27)</f>
        <v>180</v>
      </c>
    </row>
    <row r="50" spans="1:9" x14ac:dyDescent="0.3">
      <c r="A50" s="5">
        <v>39872</v>
      </c>
      <c r="B50" s="6">
        <v>40056</v>
      </c>
      <c r="C50" s="7">
        <f>_xll.oxlComputeDayCount(A50,B50,A$27)</f>
        <v>184</v>
      </c>
      <c r="G50" s="5">
        <v>39872</v>
      </c>
      <c r="H50" s="6">
        <v>40056</v>
      </c>
      <c r="I50" s="7">
        <f>_xll.oxlComputeDayCount(G50,H50,G$27)</f>
        <v>180</v>
      </c>
    </row>
    <row r="52" spans="1:9" x14ac:dyDescent="0.3">
      <c r="A52" t="s">
        <v>21</v>
      </c>
    </row>
    <row r="53" spans="1:9" x14ac:dyDescent="0.3">
      <c r="A53" t="s">
        <v>17</v>
      </c>
      <c r="B53" t="s">
        <v>18</v>
      </c>
      <c r="C53" t="s">
        <v>19</v>
      </c>
    </row>
    <row r="54" spans="1:9" x14ac:dyDescent="0.3">
      <c r="A54" s="1">
        <v>39097</v>
      </c>
      <c r="B54" s="1">
        <v>39112</v>
      </c>
      <c r="C54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45751-0031-44E3-951D-7C59C3883439}">
  <dimension ref="B2:K20"/>
  <sheetViews>
    <sheetView tabSelected="1" workbookViewId="0">
      <selection activeCell="K2" sqref="K2"/>
    </sheetView>
  </sheetViews>
  <sheetFormatPr defaultRowHeight="14.4" x14ac:dyDescent="0.3"/>
  <cols>
    <col min="2" max="2" width="16.5546875" bestFit="1" customWidth="1"/>
    <col min="3" max="3" width="30.5546875" bestFit="1" customWidth="1"/>
    <col min="4" max="5" width="10.6640625" bestFit="1" customWidth="1"/>
    <col min="6" max="7" width="9.5546875" bestFit="1" customWidth="1"/>
    <col min="11" max="11" width="10.6640625" bestFit="1" customWidth="1"/>
  </cols>
  <sheetData>
    <row r="2" spans="2:11" x14ac:dyDescent="0.3">
      <c r="C2" t="str">
        <f>_xll.oxlDictionary(B3:B6,C3:C6)</f>
        <v>Dictionary_ComputeDate_$1$2:0</v>
      </c>
      <c r="K2" t="str">
        <f>_xll.oxlDictionary(J3:J5,K3:K5)</f>
        <v>Dictionary_ComputeDate_$1$10:1</v>
      </c>
    </row>
    <row r="3" spans="2:11" x14ac:dyDescent="0.3">
      <c r="B3" t="s">
        <v>26</v>
      </c>
      <c r="C3" s="1">
        <v>45163</v>
      </c>
      <c r="E3" t="str">
        <f t="array" ref="E3:F6">_xll.oxlDisplay(C2)</f>
        <v>Adjustment_Rule</v>
      </c>
      <c r="F3" t="str">
        <v>Following</v>
      </c>
      <c r="J3" t="s">
        <v>26</v>
      </c>
      <c r="K3" s="1">
        <v>46336</v>
      </c>
    </row>
    <row r="4" spans="2:11" x14ac:dyDescent="0.3">
      <c r="B4" t="s">
        <v>27</v>
      </c>
      <c r="C4" t="s">
        <v>31</v>
      </c>
      <c r="E4" t="str">
        <v>Base_Date</v>
      </c>
      <c r="F4" s="1">
        <v>45163</v>
      </c>
      <c r="J4" t="s">
        <v>33</v>
      </c>
      <c r="K4">
        <v>5</v>
      </c>
    </row>
    <row r="5" spans="2:11" x14ac:dyDescent="0.3">
      <c r="B5" t="s">
        <v>28</v>
      </c>
      <c r="C5" t="s">
        <v>32</v>
      </c>
      <c r="E5" t="str">
        <v>Calendar</v>
      </c>
      <c r="F5" t="str">
        <v>NYB</v>
      </c>
      <c r="J5" t="s">
        <v>29</v>
      </c>
      <c r="K5" t="s">
        <v>0</v>
      </c>
    </row>
    <row r="6" spans="2:11" x14ac:dyDescent="0.3">
      <c r="B6" t="s">
        <v>29</v>
      </c>
      <c r="C6" t="s">
        <v>0</v>
      </c>
      <c r="E6" t="str">
        <v>Tenor</v>
      </c>
      <c r="F6" t="str">
        <v>8M</v>
      </c>
    </row>
    <row r="7" spans="2:11" x14ac:dyDescent="0.3">
      <c r="C7" s="2" t="s">
        <v>30</v>
      </c>
    </row>
    <row r="8" spans="2:11" x14ac:dyDescent="0.3">
      <c r="C8" s="1">
        <f>_xll.oxlComputeDate(B3:C6)</f>
        <v>45407</v>
      </c>
      <c r="K8" s="1">
        <f>_xll.oxlAddBusinessDays(K3,K4,K5)</f>
        <v>46344</v>
      </c>
    </row>
    <row r="9" spans="2:11" x14ac:dyDescent="0.3">
      <c r="C9" s="1">
        <f>_xll.oxlComputeDate(B3:B6,C3:C6)</f>
        <v>45407</v>
      </c>
      <c r="K9" s="1">
        <f>_xll.oxlAddBusinessDays(J3:J5,K3:K5)</f>
        <v>46344</v>
      </c>
    </row>
    <row r="10" spans="2:11" x14ac:dyDescent="0.3">
      <c r="C10" s="1">
        <f>_xll.oxlComputeDate(C2)</f>
        <v>45407</v>
      </c>
      <c r="K10" s="1">
        <f>_xll.oxlAddBusinessDays(K2)</f>
        <v>46344</v>
      </c>
    </row>
    <row r="11" spans="2:11" x14ac:dyDescent="0.3">
      <c r="C11" s="1">
        <f>_xll.oxlComputeDate(C3,C4,C5,C6)</f>
        <v>45407</v>
      </c>
    </row>
    <row r="12" spans="2:11" x14ac:dyDescent="0.3">
      <c r="K12" t="str">
        <f>_xll.oxlDictionary(J13:J15,K13:K15)</f>
        <v>Dictionary_ComputeDate_$11$10:0</v>
      </c>
    </row>
    <row r="13" spans="2:11" x14ac:dyDescent="0.3">
      <c r="J13" t="s">
        <v>26</v>
      </c>
      <c r="K13" s="1">
        <v>46344</v>
      </c>
    </row>
    <row r="14" spans="2:11" x14ac:dyDescent="0.3">
      <c r="J14" t="s">
        <v>33</v>
      </c>
      <c r="K14">
        <v>-5</v>
      </c>
    </row>
    <row r="15" spans="2:11" x14ac:dyDescent="0.3">
      <c r="J15" t="s">
        <v>29</v>
      </c>
      <c r="K15" t="s">
        <v>0</v>
      </c>
    </row>
    <row r="18" spans="11:11" x14ac:dyDescent="0.3">
      <c r="K18" s="1">
        <f>_xll.oxlAddBusinessDays(K13,K14,K15)</f>
        <v>46336</v>
      </c>
    </row>
    <row r="19" spans="11:11" x14ac:dyDescent="0.3">
      <c r="K19" s="1">
        <f>_xll.oxlAddBusinessDays(J13:J15,K13:K15)</f>
        <v>46336</v>
      </c>
    </row>
    <row r="20" spans="11:11" x14ac:dyDescent="0.3">
      <c r="K20" s="1">
        <f>_xll.oxlAddBusinessDays(K12)</f>
        <v>46336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boolean_logic_dates</vt:lpstr>
      <vt:lpstr>day_count</vt:lpstr>
      <vt:lpstr>ComputeDate</vt:lpstr>
      <vt:lpstr>dayCountResult</vt:lpstr>
      <vt:lpstr>vbaDayCount</vt:lpstr>
      <vt:lpstr>vbaEndDate</vt:lpstr>
      <vt:lpstr>vbaStartDate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Michael Jang</cp:lastModifiedBy>
  <dcterms:created xsi:type="dcterms:W3CDTF">2023-05-11T21:18:44Z</dcterms:created>
  <dcterms:modified xsi:type="dcterms:W3CDTF">2025-12-26T19:56:54Z</dcterms:modified>
</cp:coreProperties>
</file>