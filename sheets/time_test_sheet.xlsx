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ExcelPy\OdinAnalytics\sheets\"/>
    </mc:Choice>
  </mc:AlternateContent>
  <xr:revisionPtr revIDLastSave="0" documentId="13_ncr:1_{690E2B6E-40B2-4123-956F-CD0ECBE5D4B8}" xr6:coauthVersionLast="47" xr6:coauthVersionMax="47" xr10:uidLastSave="{00000000-0000-0000-0000-000000000000}"/>
  <bookViews>
    <workbookView xWindow="-120" yWindow="-120" windowWidth="29040" windowHeight="17520" activeTab="1" xr2:uid="{4F0FB8F6-FBCA-4404-B166-FFC6556ED016}"/>
  </bookViews>
  <sheets>
    <sheet name="boolean_logic_dates" sheetId="1" r:id="rId1"/>
    <sheet name="day_count" sheetId="2" r:id="rId2"/>
    <sheet name="ComputeDate" sheetId="3" r:id="rId3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0" i="2" l="1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29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G18" i="1"/>
  <c r="C13" i="2"/>
  <c r="K11" i="1"/>
  <c r="C49" i="2"/>
  <c r="C32" i="2"/>
  <c r="C12" i="2"/>
  <c r="C15" i="2"/>
  <c r="C14" i="2"/>
  <c r="C30" i="2"/>
  <c r="C33" i="2"/>
  <c r="F11" i="1"/>
  <c r="C5" i="2"/>
  <c r="C39" i="2"/>
  <c r="C45" i="2"/>
  <c r="F18" i="1"/>
  <c r="C44" i="2"/>
  <c r="J14" i="1"/>
  <c r="C43" i="2"/>
  <c r="C19" i="2"/>
  <c r="K18" i="1"/>
  <c r="C6" i="2"/>
  <c r="C48" i="2"/>
  <c r="I11" i="1"/>
  <c r="C29" i="2"/>
  <c r="I18" i="1"/>
  <c r="G11" i="1"/>
  <c r="C35" i="2"/>
  <c r="C11" i="2"/>
  <c r="C40" i="2"/>
  <c r="I8" i="1"/>
  <c r="C7" i="2"/>
  <c r="C31" i="2"/>
  <c r="K8" i="1"/>
  <c r="J8" i="1"/>
  <c r="L14" i="1"/>
  <c r="C24" i="2"/>
  <c r="F8" i="1"/>
  <c r="C23" i="2"/>
  <c r="C34" i="2"/>
  <c r="C50" i="2"/>
  <c r="L18" i="1"/>
  <c r="C4" i="2"/>
  <c r="C21" i="2"/>
  <c r="C22" i="2"/>
  <c r="C37" i="2"/>
  <c r="C20" i="2"/>
  <c r="C38" i="2"/>
  <c r="J18" i="1"/>
  <c r="C17" i="2"/>
  <c r="H11" i="1"/>
  <c r="C41" i="2"/>
  <c r="H14" i="1"/>
  <c r="H8" i="1"/>
  <c r="J11" i="1"/>
  <c r="C25" i="2"/>
  <c r="C36" i="2"/>
  <c r="C18" i="2"/>
  <c r="G14" i="1"/>
  <c r="C16" i="2"/>
  <c r="C46" i="2"/>
  <c r="C42" i="2"/>
  <c r="G8" i="1"/>
  <c r="C47" i="2"/>
  <c r="H18" i="1"/>
  <c r="L11" i="1"/>
  <c r="L8" i="1"/>
  <c r="C8" i="2"/>
  <c r="C9" i="2"/>
  <c r="K14" i="1"/>
  <c r="I14" i="1"/>
  <c r="F14" i="1"/>
  <c r="C10" i="2"/>
  <c r="C8" i="3"/>
  <c r="C9" i="3"/>
  <c r="C2" i="3"/>
  <c r="C10" i="3" s="1"/>
  <c r="C11" i="3"/>
  <c r="F3" i="3" a="1"/>
  <c r="J34" i="2"/>
  <c r="J21" i="2"/>
  <c r="J45" i="2"/>
  <c r="J14" i="2"/>
  <c r="J5" i="2"/>
  <c r="J33" i="2"/>
  <c r="J25" i="2"/>
  <c r="J47" i="2"/>
  <c r="J49" i="2"/>
  <c r="J10" i="2"/>
  <c r="J36" i="2"/>
  <c r="J8" i="2"/>
  <c r="J13" i="2"/>
  <c r="J48" i="2"/>
  <c r="J17" i="2"/>
  <c r="J22" i="2"/>
  <c r="J44" i="2"/>
  <c r="J15" i="2"/>
  <c r="J19" i="2"/>
  <c r="J39" i="2"/>
  <c r="J29" i="2"/>
  <c r="J20" i="2"/>
  <c r="J24" i="2"/>
  <c r="J9" i="2"/>
  <c r="J41" i="2"/>
  <c r="J38" i="2"/>
  <c r="J46" i="2"/>
  <c r="J16" i="2"/>
  <c r="J12" i="2"/>
  <c r="J37" i="2"/>
  <c r="J50" i="2"/>
  <c r="J40" i="2"/>
  <c r="J35" i="2"/>
  <c r="J30" i="2"/>
  <c r="J11" i="2"/>
  <c r="J32" i="2"/>
  <c r="J23" i="2"/>
  <c r="J43" i="2"/>
  <c r="J6" i="2"/>
  <c r="J7" i="2"/>
  <c r="J18" i="2"/>
  <c r="J31" i="2"/>
  <c r="J4" i="2"/>
  <c r="J42" i="2"/>
  <c r="E31" i="2"/>
  <c r="E32" i="2"/>
  <c r="E48" i="2"/>
  <c r="E35" i="2"/>
  <c r="E43" i="2"/>
  <c r="E45" i="2"/>
  <c r="E33" i="2"/>
  <c r="E49" i="2"/>
  <c r="E50" i="2"/>
  <c r="E40" i="2"/>
  <c r="E42" i="2"/>
  <c r="E44" i="2"/>
  <c r="E46" i="2"/>
  <c r="E34" i="2"/>
  <c r="E36" i="2"/>
  <c r="E37" i="2"/>
  <c r="E30" i="2"/>
  <c r="E38" i="2"/>
  <c r="E47" i="2"/>
  <c r="E39" i="2"/>
  <c r="E41" i="2"/>
  <c r="E29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B1" i="1" l="1"/>
  <c r="G4" i="3"/>
  <c r="F5" i="3"/>
  <c r="F3" i="3"/>
  <c r="G3" i="3"/>
  <c r="F4" i="3"/>
  <c r="G5" i="3"/>
  <c r="F6" i="3"/>
  <c r="G6" i="3"/>
  <c r="D10" i="2"/>
  <c r="F10" i="2" s="1"/>
  <c r="D9" i="2"/>
  <c r="F9" i="2" s="1"/>
  <c r="D8" i="2"/>
  <c r="F8" i="2" s="1"/>
  <c r="D16" i="2"/>
  <c r="F16" i="2" s="1"/>
  <c r="D18" i="2"/>
  <c r="F18" i="2" s="1"/>
  <c r="D25" i="2"/>
  <c r="F25" i="2" s="1"/>
  <c r="D17" i="2"/>
  <c r="F17" i="2" s="1"/>
  <c r="D20" i="2"/>
  <c r="F20" i="2" s="1"/>
  <c r="D22" i="2"/>
  <c r="F22" i="2" s="1"/>
  <c r="D21" i="2"/>
  <c r="F21" i="2" s="1"/>
  <c r="D4" i="2"/>
  <c r="F4" i="2" s="1"/>
  <c r="D23" i="2"/>
  <c r="F23" i="2" s="1"/>
  <c r="D24" i="2"/>
  <c r="F24" i="2" s="1"/>
  <c r="D7" i="2"/>
  <c r="F7" i="2" s="1"/>
  <c r="D11" i="2"/>
  <c r="F11" i="2" s="1"/>
  <c r="D6" i="2"/>
  <c r="F6" i="2" s="1"/>
  <c r="D19" i="2"/>
  <c r="F19" i="2" s="1"/>
  <c r="D5" i="2"/>
  <c r="F5" i="2" s="1"/>
  <c r="D14" i="2"/>
  <c r="F14" i="2" s="1"/>
  <c r="D15" i="2"/>
  <c r="F15" i="2" s="1"/>
  <c r="D12" i="2"/>
  <c r="F12" i="2" s="1"/>
  <c r="D13" i="2"/>
  <c r="F13" i="2" s="1"/>
</calcChain>
</file>

<file path=xl/sharedStrings.xml><?xml version="1.0" encoding="utf-8"?>
<sst xmlns="http://schemas.openxmlformats.org/spreadsheetml/2006/main" count="67" uniqueCount="33">
  <si>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</si>
  <si>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</si>
  <si>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</si>
  <si>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</si>
  <si>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</si>
  <si>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</si>
  <si>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</si>
  <si>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</si>
  <si>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</si>
  <si>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</si>
  <si>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</si>
  <si>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</si>
  <si>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</si>
  <si>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</si>
  <si>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</si>
  <si>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</si>
  <si>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</si>
  <si>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</si>
  <si>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</si>
  <si>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</si>
  <si>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</si>
  <si>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</si>
  <si>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</si>
  <si>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</si>
  <si>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</si>
  <si>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</si>
  <si>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</si>
  <si>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</si>
  <si>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</si>
  <si>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</si>
  <si>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</si>
  <si>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8M</t>
  </si>
  <si>
    <t>Following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</si>
</sst>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5" x14ac:dyDescent="0.25"/>
  <cols>
    <col min="5" max="5" width="17.42578125" bestFit="1" customWidth="1"/>
    <col min="6" max="6" width="17.7109375" bestFit="1" customWidth="1"/>
    <col min="7" max="7" width="23.5703125" bestFit="1" customWidth="1"/>
    <col min="8" max="8" width="11.140625" bestFit="1" customWidth="1"/>
    <col min="9" max="9" width="20.42578125" bestFit="1" customWidth="1"/>
    <col min="10" max="10" width="10.7109375" bestFit="1" customWidth="1"/>
    <col min="11" max="11" width="20" bestFit="1" customWidth="1"/>
    <col min="12" max="12" width="9.5703125" bestFit="1" customWidth="1"/>
  </cols>
  <sheetData>
    <row r="1" spans="2:12" x14ac:dyDescent="0.25">
      <c r="B1" t="str">
        <f>ComputeDate!C2</f>
        <v>Dictionary_ComputeDate_$1$2:9</v>
      </c>
    </row>
    <row r="5" spans="2:12" x14ac:dyDescent="0.25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25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25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25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25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25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25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25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25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25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abSelected="1" topLeftCell="A22" workbookViewId="0">
      <selection activeCell="D3" sqref="D3"/>
    </sheetView>
  </sheetViews>
  <sheetFormatPr defaultRowHeight="15" x14ac:dyDescent="0.25"/>
  <cols>
    <col min="1" max="2" width="10.7109375" bestFit="1" customWidth="1"/>
    <col min="3" max="3" width="10.42578125" bestFit="1" customWidth="1"/>
    <col min="4" max="5" width="10.7109375" bestFit="1" customWidth="1"/>
    <col min="6" max="6" width="10.42578125" bestFit="1" customWidth="1"/>
    <col min="7" max="8" width="10.7109375" bestFit="1" customWidth="1"/>
    <col min="9" max="9" width="10.42578125" bestFit="1" customWidth="1"/>
    <col min="12" max="13" width="9.5703125" bestFit="1" customWidth="1"/>
  </cols>
  <sheetData>
    <row r="2" spans="1:13" x14ac:dyDescent="0.25">
      <c r="A2" s="12" t="s">
        <v>21</v>
      </c>
      <c r="B2" s="13"/>
      <c r="C2" s="14"/>
      <c r="H2" s="12" t="s">
        <v>22</v>
      </c>
      <c r="I2" s="13"/>
      <c r="J2" s="14"/>
    </row>
    <row r="3" spans="1:13" x14ac:dyDescent="0.25">
      <c r="A3" s="8" t="s">
        <v>17</v>
      </c>
      <c r="B3" s="8" t="s">
        <v>18</v>
      </c>
      <c r="C3" s="8" t="s">
        <v>19</v>
      </c>
      <c r="H3" s="8" t="s">
        <v>17</v>
      </c>
      <c r="I3" s="8" t="s">
        <v>18</v>
      </c>
      <c r="J3" s="8" t="s">
        <v>19</v>
      </c>
    </row>
    <row r="4" spans="1:13" x14ac:dyDescent="0.25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H4" s="4">
        <v>39097</v>
      </c>
      <c r="I4" s="1">
        <v>39112</v>
      </c>
      <c r="J4" s="3">
        <f>_xll.oxlComputeDayCount(H4,I4,H$2)</f>
        <v>15</v>
      </c>
      <c r="L4" s="1"/>
      <c r="M4" s="1"/>
    </row>
    <row r="5" spans="1:13" x14ac:dyDescent="0.25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H5" s="4">
        <v>39097</v>
      </c>
      <c r="I5" s="1">
        <v>39128</v>
      </c>
      <c r="J5" s="3">
        <f>_xll.oxlComputeDayCount(H5,I5,H$2)</f>
        <v>30</v>
      </c>
    </row>
    <row r="6" spans="1:13" x14ac:dyDescent="0.25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H6" s="4">
        <v>39097</v>
      </c>
      <c r="I6" s="1">
        <v>39278</v>
      </c>
      <c r="J6" s="3">
        <f>_xll.oxlComputeDayCount(H6,I6,H$2)</f>
        <v>180</v>
      </c>
    </row>
    <row r="7" spans="1:13" x14ac:dyDescent="0.25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H7" s="4">
        <v>39355</v>
      </c>
      <c r="I7" s="1">
        <v>39538</v>
      </c>
      <c r="J7" s="3">
        <f>_xll.oxlComputeDayCount(H7,I7,H$2)</f>
        <v>180</v>
      </c>
    </row>
    <row r="8" spans="1:13" x14ac:dyDescent="0.25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H8" s="4">
        <v>39355</v>
      </c>
      <c r="I8" s="1">
        <v>39386</v>
      </c>
      <c r="J8" s="3">
        <f>_xll.oxlComputeDayCount(H8,I8,H$2)</f>
        <v>30</v>
      </c>
    </row>
    <row r="9" spans="1:13" x14ac:dyDescent="0.25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H9" s="4">
        <v>39355</v>
      </c>
      <c r="I9" s="1">
        <v>39721</v>
      </c>
      <c r="J9" s="3">
        <f>_xll.oxlComputeDayCount(H9,I9,H$2)</f>
        <v>360</v>
      </c>
    </row>
    <row r="10" spans="1:13" x14ac:dyDescent="0.25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H10" s="4">
        <v>39097</v>
      </c>
      <c r="I10" s="1">
        <v>39113</v>
      </c>
      <c r="J10" s="3">
        <f>_xll.oxlComputeDayCount(H10,I10,H$2)</f>
        <v>15</v>
      </c>
    </row>
    <row r="11" spans="1:13" x14ac:dyDescent="0.25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H11" s="4">
        <v>39113</v>
      </c>
      <c r="I11" s="1">
        <v>39141</v>
      </c>
      <c r="J11" s="3">
        <f>_xll.oxlComputeDayCount(H11,I11,H$2)</f>
        <v>28</v>
      </c>
    </row>
    <row r="12" spans="1:13" x14ac:dyDescent="0.25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H12" s="4">
        <v>39141</v>
      </c>
      <c r="I12" s="1">
        <v>39172</v>
      </c>
      <c r="J12" s="3">
        <f>_xll.oxlComputeDayCount(H12,I12,H$2)</f>
        <v>32</v>
      </c>
    </row>
    <row r="13" spans="1:13" x14ac:dyDescent="0.25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H13" s="4">
        <v>38960</v>
      </c>
      <c r="I13" s="1">
        <v>39141</v>
      </c>
      <c r="J13" s="3">
        <f>_xll.oxlComputeDayCount(H13,I13,H$2)</f>
        <v>178</v>
      </c>
    </row>
    <row r="14" spans="1:13" x14ac:dyDescent="0.25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H14" s="4">
        <v>39141</v>
      </c>
      <c r="I14" s="1">
        <v>39325</v>
      </c>
      <c r="J14" s="3">
        <f>_xll.oxlComputeDayCount(H14,I14,H$2)</f>
        <v>182</v>
      </c>
    </row>
    <row r="15" spans="1:13" x14ac:dyDescent="0.25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H15" s="4">
        <v>39127</v>
      </c>
      <c r="I15" s="1">
        <v>39141</v>
      </c>
      <c r="J15" s="3">
        <f>_xll.oxlComputeDayCount(H15,I15,H$2)</f>
        <v>14</v>
      </c>
    </row>
    <row r="16" spans="1:13" x14ac:dyDescent="0.25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H16" s="4">
        <v>39139</v>
      </c>
      <c r="I16" s="1">
        <v>39507</v>
      </c>
      <c r="J16" s="3">
        <f>_xll.oxlComputeDayCount(H16,I16,H$2)</f>
        <v>363</v>
      </c>
    </row>
    <row r="17" spans="1:10" x14ac:dyDescent="0.25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H17" s="4">
        <v>39507</v>
      </c>
      <c r="I17" s="1">
        <v>39872</v>
      </c>
      <c r="J17" s="3">
        <f>_xll.oxlComputeDayCount(H17,I17,H$2)</f>
        <v>359</v>
      </c>
    </row>
    <row r="18" spans="1:10" x14ac:dyDescent="0.25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H18" s="4">
        <v>39507</v>
      </c>
      <c r="I18" s="1">
        <v>39537</v>
      </c>
      <c r="J18" s="3">
        <f>_xll.oxlComputeDayCount(H18,I18,H$2)</f>
        <v>31</v>
      </c>
    </row>
    <row r="19" spans="1:10" x14ac:dyDescent="0.25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H19" s="4">
        <v>39507</v>
      </c>
      <c r="I19" s="1">
        <v>39538</v>
      </c>
      <c r="J19" s="3">
        <f>_xll.oxlComputeDayCount(H19,I19,H$2)</f>
        <v>31</v>
      </c>
    </row>
    <row r="20" spans="1:10" x14ac:dyDescent="0.25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H20" s="4">
        <v>39141</v>
      </c>
      <c r="I20" s="1">
        <v>39146</v>
      </c>
      <c r="J20" s="3">
        <f>_xll.oxlComputeDayCount(H20,I20,H$2)</f>
        <v>7</v>
      </c>
    </row>
    <row r="21" spans="1:10" x14ac:dyDescent="0.25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H21" s="4">
        <v>39386</v>
      </c>
      <c r="I21" s="1">
        <v>39414</v>
      </c>
      <c r="J21" s="3">
        <f>_xll.oxlComputeDayCount(H21,I21,H$2)</f>
        <v>28</v>
      </c>
    </row>
    <row r="22" spans="1:10" x14ac:dyDescent="0.25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H22" s="4">
        <v>39325</v>
      </c>
      <c r="I22" s="1">
        <v>39507</v>
      </c>
      <c r="J22" s="3">
        <f>_xll.oxlComputeDayCount(H22,I22,H$2)</f>
        <v>179</v>
      </c>
    </row>
    <row r="23" spans="1:10" x14ac:dyDescent="0.25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H23" s="4">
        <v>39507</v>
      </c>
      <c r="I23" s="1">
        <v>39691</v>
      </c>
      <c r="J23" s="3">
        <f>_xll.oxlComputeDayCount(H23,I23,H$2)</f>
        <v>181</v>
      </c>
    </row>
    <row r="24" spans="1:10" x14ac:dyDescent="0.25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H24" s="4">
        <v>39691</v>
      </c>
      <c r="I24" s="1">
        <v>39872</v>
      </c>
      <c r="J24" s="3">
        <f>_xll.oxlComputeDayCount(H24,I24,H$2)</f>
        <v>178</v>
      </c>
    </row>
    <row r="25" spans="1:10" x14ac:dyDescent="0.25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H25" s="5">
        <v>39872</v>
      </c>
      <c r="I25" s="6">
        <v>40056</v>
      </c>
      <c r="J25" s="7">
        <f>_xll.oxlComputeDayCount(H25,I25,H$2)</f>
        <v>182</v>
      </c>
    </row>
    <row r="27" spans="1:10" x14ac:dyDescent="0.25">
      <c r="A27" s="12" t="s">
        <v>20</v>
      </c>
      <c r="B27" s="13"/>
      <c r="C27" s="14"/>
      <c r="H27" s="12" t="s">
        <v>23</v>
      </c>
      <c r="I27" s="13"/>
      <c r="J27" s="14"/>
    </row>
    <row r="28" spans="1:10" x14ac:dyDescent="0.25">
      <c r="A28" s="8" t="s">
        <v>17</v>
      </c>
      <c r="B28" s="8" t="s">
        <v>18</v>
      </c>
      <c r="C28" s="8" t="s">
        <v>19</v>
      </c>
      <c r="H28" s="8" t="s">
        <v>17</v>
      </c>
      <c r="I28" s="8" t="s">
        <v>18</v>
      </c>
      <c r="J28" s="8" t="s">
        <v>19</v>
      </c>
    </row>
    <row r="29" spans="1:10" x14ac:dyDescent="0.25">
      <c r="A29" s="4">
        <v>39097</v>
      </c>
      <c r="B29" s="1">
        <v>39112</v>
      </c>
      <c r="C29" s="3">
        <f>_xll.oxlComputeDayCount(A29,B29,A$27)</f>
        <v>15</v>
      </c>
      <c r="D29">
        <f t="shared" ref="D29:D50" si="2">C29/360</f>
        <v>4.1666666666666664E-2</v>
      </c>
      <c r="E29">
        <f>_xll.oxlComputeYearFraction(A29,B29,"act/360")</f>
        <v>4.1666666666666664E-2</v>
      </c>
      <c r="F29">
        <f>E29-D29</f>
        <v>0</v>
      </c>
      <c r="H29" s="9">
        <v>39097</v>
      </c>
      <c r="I29" s="10">
        <v>39112</v>
      </c>
      <c r="J29" s="11">
        <f>_xll.oxlComputeDayCount(H29,I29,H$27)</f>
        <v>15</v>
      </c>
    </row>
    <row r="30" spans="1:10" x14ac:dyDescent="0.25">
      <c r="A30" s="4">
        <v>39097</v>
      </c>
      <c r="B30" s="1">
        <v>39128</v>
      </c>
      <c r="C30" s="3">
        <f>_xll.oxlComputeDayCount(A30,B30,A$27)</f>
        <v>31</v>
      </c>
      <c r="D30">
        <f t="shared" si="2"/>
        <v>8.611111111111111E-2</v>
      </c>
      <c r="E30">
        <f>_xll.oxlComputeYearFraction(A30,B30,"act/360")</f>
        <v>8.611111111111111E-2</v>
      </c>
      <c r="F30">
        <f t="shared" ref="F30:F50" si="3">E30-D30</f>
        <v>0</v>
      </c>
      <c r="H30" s="4">
        <v>39097</v>
      </c>
      <c r="I30" s="1">
        <v>39128</v>
      </c>
      <c r="J30" s="3">
        <f>_xll.oxlComputeDayCount(H30,I30,H$27)</f>
        <v>30</v>
      </c>
    </row>
    <row r="31" spans="1:10" x14ac:dyDescent="0.25">
      <c r="A31" s="4">
        <v>39097</v>
      </c>
      <c r="B31" s="1">
        <v>39278</v>
      </c>
      <c r="C31" s="3">
        <f>_xll.oxlComputeDayCount(A31,B31,A$27)</f>
        <v>181</v>
      </c>
      <c r="D31">
        <f t="shared" si="2"/>
        <v>0.50277777777777777</v>
      </c>
      <c r="E31">
        <f>_xll.oxlComputeYearFraction(A31,B31,"act/360")</f>
        <v>0.50277777777777777</v>
      </c>
      <c r="F31">
        <f t="shared" si="3"/>
        <v>0</v>
      </c>
      <c r="H31" s="4">
        <v>39097</v>
      </c>
      <c r="I31" s="1">
        <v>39278</v>
      </c>
      <c r="J31" s="3">
        <f>_xll.oxlComputeDayCount(H31,I31,H$27)</f>
        <v>180</v>
      </c>
    </row>
    <row r="32" spans="1:10" x14ac:dyDescent="0.25">
      <c r="A32" s="4">
        <v>39355</v>
      </c>
      <c r="B32" s="1">
        <v>39538</v>
      </c>
      <c r="C32" s="3">
        <f>_xll.oxlComputeDayCount(A32,B32,A$27)</f>
        <v>183</v>
      </c>
      <c r="D32">
        <f t="shared" si="2"/>
        <v>0.5083333333333333</v>
      </c>
      <c r="E32">
        <f>_xll.oxlComputeYearFraction(A32,B32,"act/360")</f>
        <v>0.5083333333333333</v>
      </c>
      <c r="F32">
        <f t="shared" si="3"/>
        <v>0</v>
      </c>
      <c r="H32" s="4">
        <v>39355</v>
      </c>
      <c r="I32" s="1">
        <v>39538</v>
      </c>
      <c r="J32" s="3">
        <f>_xll.oxlComputeDayCount(H32,I32,H$27)</f>
        <v>180</v>
      </c>
    </row>
    <row r="33" spans="1:10" x14ac:dyDescent="0.25">
      <c r="A33" s="4">
        <v>39355</v>
      </c>
      <c r="B33" s="1">
        <v>39386</v>
      </c>
      <c r="C33" s="3">
        <f>_xll.oxlComputeDayCount(A33,B33,A$27)</f>
        <v>31</v>
      </c>
      <c r="D33">
        <f t="shared" si="2"/>
        <v>8.611111111111111E-2</v>
      </c>
      <c r="E33">
        <f>_xll.oxlComputeYearFraction(A33,B33,"act/360")</f>
        <v>8.611111111111111E-2</v>
      </c>
      <c r="F33">
        <f t="shared" si="3"/>
        <v>0</v>
      </c>
      <c r="H33" s="4">
        <v>39355</v>
      </c>
      <c r="I33" s="1">
        <v>39386</v>
      </c>
      <c r="J33" s="3">
        <f>_xll.oxlComputeDayCount(H33,I33,H$27)</f>
        <v>30</v>
      </c>
    </row>
    <row r="34" spans="1:10" x14ac:dyDescent="0.25">
      <c r="A34" s="4">
        <v>39355</v>
      </c>
      <c r="B34" s="1">
        <v>39721</v>
      </c>
      <c r="C34" s="3">
        <f>_xll.oxlComputeDayCount(A34,B34,A$27)</f>
        <v>366</v>
      </c>
      <c r="D34">
        <f t="shared" si="2"/>
        <v>1.0166666666666666</v>
      </c>
      <c r="E34">
        <f>_xll.oxlComputeYearFraction(A34,B34,"act/360")</f>
        <v>1.0166666666666666</v>
      </c>
      <c r="F34">
        <f t="shared" si="3"/>
        <v>0</v>
      </c>
      <c r="H34" s="4">
        <v>39355</v>
      </c>
      <c r="I34" s="1">
        <v>39721</v>
      </c>
      <c r="J34" s="3">
        <f>_xll.oxlComputeDayCount(H34,I34,H$27)</f>
        <v>360</v>
      </c>
    </row>
    <row r="35" spans="1:10" x14ac:dyDescent="0.25">
      <c r="A35" s="4">
        <v>39097</v>
      </c>
      <c r="B35" s="1">
        <v>39113</v>
      </c>
      <c r="C35" s="3">
        <f>_xll.oxlComputeDayCount(A35,B35,A$27)</f>
        <v>16</v>
      </c>
      <c r="D35">
        <f t="shared" si="2"/>
        <v>4.4444444444444446E-2</v>
      </c>
      <c r="E35">
        <f>_xll.oxlComputeYearFraction(A35,B35,"act/360")</f>
        <v>4.4444444444444446E-2</v>
      </c>
      <c r="F35">
        <f t="shared" si="3"/>
        <v>0</v>
      </c>
      <c r="H35" s="4">
        <v>39097</v>
      </c>
      <c r="I35" s="1">
        <v>39113</v>
      </c>
      <c r="J35" s="3">
        <f>_xll.oxlComputeDayCount(H35,I35,H$27)</f>
        <v>15</v>
      </c>
    </row>
    <row r="36" spans="1:10" x14ac:dyDescent="0.25">
      <c r="A36" s="4">
        <v>39113</v>
      </c>
      <c r="B36" s="1">
        <v>39141</v>
      </c>
      <c r="C36" s="3">
        <f>_xll.oxlComputeDayCount(A36,B36,A$27)</f>
        <v>28</v>
      </c>
      <c r="D36">
        <f t="shared" si="2"/>
        <v>7.7777777777777779E-2</v>
      </c>
      <c r="E36">
        <f>_xll.oxlComputeYearFraction(A36,B36,"act/360")</f>
        <v>7.7777777777777779E-2</v>
      </c>
      <c r="F36">
        <f t="shared" si="3"/>
        <v>0</v>
      </c>
      <c r="H36" s="4">
        <v>39113</v>
      </c>
      <c r="I36" s="1">
        <v>39141</v>
      </c>
      <c r="J36" s="3">
        <f>_xll.oxlComputeDayCount(H36,I36,H$27)</f>
        <v>30</v>
      </c>
    </row>
    <row r="37" spans="1:10" x14ac:dyDescent="0.25">
      <c r="A37" s="4">
        <v>39141</v>
      </c>
      <c r="B37" s="1">
        <v>39172</v>
      </c>
      <c r="C37" s="3">
        <f>_xll.oxlComputeDayCount(A37,B37,A$27)</f>
        <v>31</v>
      </c>
      <c r="D37">
        <f t="shared" si="2"/>
        <v>8.611111111111111E-2</v>
      </c>
      <c r="E37">
        <f>_xll.oxlComputeYearFraction(A37,B37,"act/360")</f>
        <v>8.611111111111111E-2</v>
      </c>
      <c r="F37">
        <f t="shared" si="3"/>
        <v>0</v>
      </c>
      <c r="H37" s="4">
        <v>39141</v>
      </c>
      <c r="I37" s="1">
        <v>39172</v>
      </c>
      <c r="J37" s="3">
        <f>_xll.oxlComputeDayCount(H37,I37,H$27)</f>
        <v>30</v>
      </c>
    </row>
    <row r="38" spans="1:10" x14ac:dyDescent="0.25">
      <c r="A38" s="4">
        <v>38960</v>
      </c>
      <c r="B38" s="1">
        <v>39141</v>
      </c>
      <c r="C38" s="3">
        <f>_xll.oxlComputeDayCount(A38,B38,A$27)</f>
        <v>181</v>
      </c>
      <c r="D38">
        <f t="shared" si="2"/>
        <v>0.50277777777777777</v>
      </c>
      <c r="E38">
        <f>_xll.oxlComputeYearFraction(A38,B38,"act/360")</f>
        <v>0.50277777777777777</v>
      </c>
      <c r="F38">
        <f t="shared" si="3"/>
        <v>0</v>
      </c>
      <c r="H38" s="4">
        <v>38960</v>
      </c>
      <c r="I38" s="1">
        <v>39141</v>
      </c>
      <c r="J38" s="3">
        <f>_xll.oxlComputeDayCount(H38,I38,H$27)</f>
        <v>180</v>
      </c>
    </row>
    <row r="39" spans="1:10" x14ac:dyDescent="0.25">
      <c r="A39" s="4">
        <v>39141</v>
      </c>
      <c r="B39" s="1">
        <v>39325</v>
      </c>
      <c r="C39" s="3">
        <f>_xll.oxlComputeDayCount(A39,B39,A$27)</f>
        <v>184</v>
      </c>
      <c r="D39">
        <f t="shared" si="2"/>
        <v>0.51111111111111107</v>
      </c>
      <c r="E39">
        <f>_xll.oxlComputeYearFraction(A39,B39,"act/360")</f>
        <v>0.51111111111111107</v>
      </c>
      <c r="F39">
        <f t="shared" si="3"/>
        <v>0</v>
      </c>
      <c r="H39" s="4">
        <v>39141</v>
      </c>
      <c r="I39" s="1">
        <v>39325</v>
      </c>
      <c r="J39" s="3">
        <f>_xll.oxlComputeDayCount(H39,I39,H$27)</f>
        <v>180</v>
      </c>
    </row>
    <row r="40" spans="1:10" x14ac:dyDescent="0.25">
      <c r="A40" s="4">
        <v>39127</v>
      </c>
      <c r="B40" s="1">
        <v>39141</v>
      </c>
      <c r="C40" s="3">
        <f>_xll.oxlComputeDayCount(A40,B40,A$27)</f>
        <v>14</v>
      </c>
      <c r="D40">
        <f t="shared" si="2"/>
        <v>3.888888888888889E-2</v>
      </c>
      <c r="E40">
        <f>_xll.oxlComputeYearFraction(A40,B40,"act/360")</f>
        <v>3.888888888888889E-2</v>
      </c>
      <c r="F40">
        <f t="shared" si="3"/>
        <v>0</v>
      </c>
      <c r="H40" s="4">
        <v>39127</v>
      </c>
      <c r="I40" s="1">
        <v>39141</v>
      </c>
      <c r="J40" s="3">
        <f>_xll.oxlComputeDayCount(H40,I40,H$27)</f>
        <v>16</v>
      </c>
    </row>
    <row r="41" spans="1:10" x14ac:dyDescent="0.25">
      <c r="A41" s="4">
        <v>39139</v>
      </c>
      <c r="B41" s="1">
        <v>39507</v>
      </c>
      <c r="C41" s="3">
        <f>_xll.oxlComputeDayCount(A41,B41,A$27)</f>
        <v>368</v>
      </c>
      <c r="D41">
        <f t="shared" si="2"/>
        <v>1.0222222222222221</v>
      </c>
      <c r="E41">
        <f>_xll.oxlComputeYearFraction(A41,B41,"act/360")</f>
        <v>1.0222222222222221</v>
      </c>
      <c r="F41">
        <f t="shared" si="3"/>
        <v>0</v>
      </c>
      <c r="H41" s="4">
        <v>39139</v>
      </c>
      <c r="I41" s="1">
        <v>39507</v>
      </c>
      <c r="J41" s="3">
        <f>_xll.oxlComputeDayCount(H41,I41,H$27)</f>
        <v>364</v>
      </c>
    </row>
    <row r="42" spans="1:10" x14ac:dyDescent="0.25">
      <c r="A42" s="4">
        <v>39507</v>
      </c>
      <c r="B42" s="1">
        <v>39872</v>
      </c>
      <c r="C42" s="3">
        <f>_xll.oxlComputeDayCount(A42,B42,A$27)</f>
        <v>365</v>
      </c>
      <c r="D42">
        <f t="shared" si="2"/>
        <v>1.0138888888888888</v>
      </c>
      <c r="E42">
        <f>_xll.oxlComputeYearFraction(A42,B42,"act/360")</f>
        <v>1.0138888888888888</v>
      </c>
      <c r="F42">
        <f t="shared" si="3"/>
        <v>0</v>
      </c>
      <c r="H42" s="4">
        <v>39507</v>
      </c>
      <c r="I42" s="1">
        <v>39872</v>
      </c>
      <c r="J42" s="3">
        <f>_xll.oxlComputeDayCount(H42,I42,H$27)</f>
        <v>360</v>
      </c>
    </row>
    <row r="43" spans="1:10" x14ac:dyDescent="0.25">
      <c r="A43" s="4">
        <v>39507</v>
      </c>
      <c r="B43" s="1">
        <v>39537</v>
      </c>
      <c r="C43" s="3">
        <f>_xll.oxlComputeDayCount(A43,B43,A$27)</f>
        <v>30</v>
      </c>
      <c r="D43">
        <f t="shared" si="2"/>
        <v>8.3333333333333329E-2</v>
      </c>
      <c r="E43">
        <f>_xll.oxlComputeYearFraction(A43,B43,"act/360")</f>
        <v>8.3333333333333329E-2</v>
      </c>
      <c r="F43">
        <f t="shared" si="3"/>
        <v>0</v>
      </c>
      <c r="H43" s="4">
        <v>39507</v>
      </c>
      <c r="I43" s="1">
        <v>39537</v>
      </c>
      <c r="J43" s="3">
        <f>_xll.oxlComputeDayCount(H43,I43,H$27)</f>
        <v>30</v>
      </c>
    </row>
    <row r="44" spans="1:10" x14ac:dyDescent="0.25">
      <c r="A44" s="4">
        <v>39507</v>
      </c>
      <c r="B44" s="1">
        <v>39538</v>
      </c>
      <c r="C44" s="3">
        <f>_xll.oxlComputeDayCount(A44,B44,A$27)</f>
        <v>31</v>
      </c>
      <c r="D44">
        <f t="shared" si="2"/>
        <v>8.611111111111111E-2</v>
      </c>
      <c r="E44">
        <f>_xll.oxlComputeYearFraction(A44,B44,"act/360")</f>
        <v>8.611111111111111E-2</v>
      </c>
      <c r="F44">
        <f t="shared" si="3"/>
        <v>0</v>
      </c>
      <c r="H44" s="4">
        <v>39507</v>
      </c>
      <c r="I44" s="1">
        <v>39538</v>
      </c>
      <c r="J44" s="3">
        <f>_xll.oxlComputeDayCount(H44,I44,H$27)</f>
        <v>30</v>
      </c>
    </row>
    <row r="45" spans="1:10" x14ac:dyDescent="0.25">
      <c r="A45" s="4">
        <v>39141</v>
      </c>
      <c r="B45" s="1">
        <v>39146</v>
      </c>
      <c r="C45" s="3">
        <f>_xll.oxlComputeDayCount(A45,B45,A$27)</f>
        <v>5</v>
      </c>
      <c r="D45">
        <f t="shared" si="2"/>
        <v>1.3888888888888888E-2</v>
      </c>
      <c r="E45">
        <f>_xll.oxlComputeYearFraction(A45,B45,"act/360")</f>
        <v>1.3888888888888888E-2</v>
      </c>
      <c r="F45">
        <f t="shared" si="3"/>
        <v>0</v>
      </c>
      <c r="H45" s="4">
        <v>39141</v>
      </c>
      <c r="I45" s="1">
        <v>39146</v>
      </c>
      <c r="J45" s="3">
        <f>_xll.oxlComputeDayCount(H45,I45,H$27)</f>
        <v>5</v>
      </c>
    </row>
    <row r="46" spans="1:10" x14ac:dyDescent="0.25">
      <c r="A46" s="4">
        <v>39386</v>
      </c>
      <c r="B46" s="1">
        <v>39414</v>
      </c>
      <c r="C46" s="3">
        <f>_xll.oxlComputeDayCount(A46,B46,A$27)</f>
        <v>28</v>
      </c>
      <c r="D46">
        <f t="shared" si="2"/>
        <v>7.7777777777777779E-2</v>
      </c>
      <c r="E46">
        <f>_xll.oxlComputeYearFraction(A46,B46,"act/360")</f>
        <v>7.7777777777777779E-2</v>
      </c>
      <c r="F46">
        <f t="shared" si="3"/>
        <v>0</v>
      </c>
      <c r="H46" s="4">
        <v>39386</v>
      </c>
      <c r="I46" s="1">
        <v>39414</v>
      </c>
      <c r="J46" s="3">
        <f>_xll.oxlComputeDayCount(H46,I46,H$27)</f>
        <v>28</v>
      </c>
    </row>
    <row r="47" spans="1:10" x14ac:dyDescent="0.25">
      <c r="A47" s="4">
        <v>39325</v>
      </c>
      <c r="B47" s="1">
        <v>39507</v>
      </c>
      <c r="C47" s="3">
        <f>_xll.oxlComputeDayCount(A47,B47,A$27)</f>
        <v>182</v>
      </c>
      <c r="D47">
        <f t="shared" si="2"/>
        <v>0.50555555555555554</v>
      </c>
      <c r="E47">
        <f>_xll.oxlComputeYearFraction(A47,B47,"act/360")</f>
        <v>0.50555555555555554</v>
      </c>
      <c r="F47">
        <f t="shared" si="3"/>
        <v>0</v>
      </c>
      <c r="H47" s="4">
        <v>39325</v>
      </c>
      <c r="I47" s="1">
        <v>39507</v>
      </c>
      <c r="J47" s="3">
        <f>_xll.oxlComputeDayCount(H47,I47,H$27)</f>
        <v>180</v>
      </c>
    </row>
    <row r="48" spans="1:10" x14ac:dyDescent="0.25">
      <c r="A48" s="4">
        <v>39507</v>
      </c>
      <c r="B48" s="1">
        <v>39691</v>
      </c>
      <c r="C48" s="3">
        <f>_xll.oxlComputeDayCount(A48,B48,A$27)</f>
        <v>184</v>
      </c>
      <c r="D48">
        <f t="shared" si="2"/>
        <v>0.51111111111111107</v>
      </c>
      <c r="E48">
        <f>_xll.oxlComputeYearFraction(A48,B48,"act/360")</f>
        <v>0.51111111111111107</v>
      </c>
      <c r="F48">
        <f t="shared" si="3"/>
        <v>0</v>
      </c>
      <c r="H48" s="4">
        <v>39507</v>
      </c>
      <c r="I48" s="1">
        <v>39691</v>
      </c>
      <c r="J48" s="3">
        <f>_xll.oxlComputeDayCount(H48,I48,H$27)</f>
        <v>180</v>
      </c>
    </row>
    <row r="49" spans="1:10" x14ac:dyDescent="0.25">
      <c r="A49" s="4">
        <v>39691</v>
      </c>
      <c r="B49" s="1">
        <v>39872</v>
      </c>
      <c r="C49" s="3">
        <f>_xll.oxlComputeDayCount(A49,B49,A$27)</f>
        <v>181</v>
      </c>
      <c r="D49">
        <f t="shared" si="2"/>
        <v>0.50277777777777777</v>
      </c>
      <c r="E49">
        <f>_xll.oxlComputeYearFraction(A49,B49,"act/360")</f>
        <v>0.50277777777777777</v>
      </c>
      <c r="F49">
        <f t="shared" si="3"/>
        <v>0</v>
      </c>
      <c r="H49" s="4">
        <v>39691</v>
      </c>
      <c r="I49" s="1">
        <v>39872</v>
      </c>
      <c r="J49" s="3">
        <f>_xll.oxlComputeDayCount(H49,I49,H$27)</f>
        <v>180</v>
      </c>
    </row>
    <row r="50" spans="1:10" x14ac:dyDescent="0.25">
      <c r="A50" s="5">
        <v>39872</v>
      </c>
      <c r="B50" s="6">
        <v>40056</v>
      </c>
      <c r="C50" s="7">
        <f>_xll.oxlComputeDayCount(A50,B50,A$27)</f>
        <v>184</v>
      </c>
      <c r="D50">
        <f t="shared" si="2"/>
        <v>0.51111111111111107</v>
      </c>
      <c r="E50">
        <f>_xll.oxlComputeYearFraction(A50,B50,"act/360")</f>
        <v>0.51111111111111107</v>
      </c>
      <c r="F50">
        <f t="shared" si="3"/>
        <v>0</v>
      </c>
      <c r="H50" s="5">
        <v>39872</v>
      </c>
      <c r="I50" s="6">
        <v>40056</v>
      </c>
      <c r="J50" s="7">
        <f>_xll.oxlComputeDayCount(H50,I50,H$27)</f>
        <v>180</v>
      </c>
    </row>
    <row r="52" spans="1:10" x14ac:dyDescent="0.25">
      <c r="A52" t="s">
        <v>21</v>
      </c>
    </row>
    <row r="53" spans="1:10" x14ac:dyDescent="0.25">
      <c r="A53" t="s">
        <v>17</v>
      </c>
      <c r="B53" t="s">
        <v>18</v>
      </c>
      <c r="C53" t="s">
        <v>19</v>
      </c>
    </row>
    <row r="54" spans="1:10" x14ac:dyDescent="0.25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G11"/>
  <sheetViews>
    <sheetView workbookViewId="0">
      <selection activeCell="C2" sqref="C2"/>
    </sheetView>
  </sheetViews>
  <sheetFormatPr defaultRowHeight="15" x14ac:dyDescent="0.25"/>
  <cols>
    <col min="2" max="2" width="16.5703125" bestFit="1" customWidth="1"/>
    <col min="3" max="3" width="30.5703125" bestFit="1" customWidth="1"/>
    <col min="4" max="5" width="10.7109375" bestFit="1" customWidth="1"/>
    <col min="7" max="7" width="9.5703125" bestFit="1" customWidth="1"/>
  </cols>
  <sheetData>
    <row r="2" spans="2:7" x14ac:dyDescent="0.25">
      <c r="C2" t="str">
        <f>_xll.oxlDictionary(B3:B6,C3:C6)</f>
        <v>Dictionary_ComputeDate_$1$2:9</v>
      </c>
    </row>
    <row r="3" spans="2:7" x14ac:dyDescent="0.25">
      <c r="B3" t="s">
        <v>26</v>
      </c>
      <c r="C3" s="1">
        <v>45163</v>
      </c>
      <c r="F3" t="str">
        <f t="array" ref="F3:G6">_xll.oxlDisplay(C2)</f>
        <v>Adjustment_Rule</v>
      </c>
      <c r="G3" t="str">
        <v>Following</v>
      </c>
    </row>
    <row r="4" spans="2:7" x14ac:dyDescent="0.25">
      <c r="B4" t="s">
        <v>27</v>
      </c>
      <c r="C4" t="s">
        <v>31</v>
      </c>
      <c r="F4" t="str">
        <v>Base_Date</v>
      </c>
      <c r="G4" s="1">
        <v>45163</v>
      </c>
    </row>
    <row r="5" spans="2:7" x14ac:dyDescent="0.25">
      <c r="B5" t="s">
        <v>28</v>
      </c>
      <c r="C5" t="s">
        <v>32</v>
      </c>
      <c r="F5" t="str">
        <v>Calendar</v>
      </c>
      <c r="G5" t="str">
        <v>NYB</v>
      </c>
    </row>
    <row r="6" spans="2:7" x14ac:dyDescent="0.25">
      <c r="B6" t="s">
        <v>29</v>
      </c>
      <c r="C6" t="s">
        <v>0</v>
      </c>
      <c r="F6" t="str">
        <v>Tenor</v>
      </c>
      <c r="G6" t="str">
        <v>8M</v>
      </c>
    </row>
    <row r="7" spans="2:7" x14ac:dyDescent="0.25">
      <c r="C7" s="2" t="s">
        <v>30</v>
      </c>
    </row>
    <row r="8" spans="2:7" x14ac:dyDescent="0.25">
      <c r="C8" s="1">
        <f>_xll.oxlComputeDate(B3:C6)</f>
        <v>45407</v>
      </c>
    </row>
    <row r="9" spans="2:7" x14ac:dyDescent="0.25">
      <c r="C9" s="1">
        <f>_xll.oxlComputeDate(B3:B6,C3:C6)</f>
        <v>45407</v>
      </c>
    </row>
    <row r="10" spans="2:7" x14ac:dyDescent="0.25">
      <c r="C10" s="1">
        <f>_xll.oxlComputeDate(C2)</f>
        <v>45407</v>
      </c>
    </row>
    <row r="11" spans="2:7" x14ac:dyDescent="0.25">
      <c r="C11" s="1">
        <f>_xll.oxlComputeDate(C3,C4,C5,C6)</f>
        <v>45407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boolean_logic_dates</vt:lpstr>
      <vt:lpstr>day_count</vt:lpstr>
      <vt:lpstr>ComputeDate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2025-11-17T00:08:24Z</dcterms:modified>
</cp:coreProperties>
</file>