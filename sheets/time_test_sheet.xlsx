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rojects\OdinAnalytics\sheets\"/>
    </mc:Choice>
  </mc:AlternateContent>
  <xr:revisionPtr revIDLastSave="0" documentId="13_ncr:1_{26409539-CAA8-4966-A579-A25503D74706}" xr6:coauthVersionLast="47" xr6:coauthVersionMax="47" xr10:uidLastSave="{00000000-0000-0000-0000-000000000000}"/>
  <bookViews>
    <workbookView xWindow="-120" yWindow="-120" windowWidth="29040" windowHeight="17520" activeTab="3" xr2:uid="{4F0FB8F6-FBCA-4404-B166-FFC6556ED016}"/>
  </bookViews>
  <sheets>
    <sheet name="boolean_logic_dates" sheetId="1" r:id="rId1"/>
    <sheet name="day_count" sheetId="2" r:id="rId2"/>
    <sheet name="ComputeDate" sheetId="3" r:id="rId3"/>
    <sheet name="CashFlow" sheetId="4" r:id="rId4"/>
  </sheets>
  <definedNames>
    <definedName name="dayCountResult">day_count!$C$54</definedName>
    <definedName name="vbaDayCount">day_count!$A$52</definedName>
    <definedName name="vbaEndDate">day_count!$B$54</definedName>
    <definedName name="vbaStartDate">day_count!$A$54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" i="4" l="1"/>
  <c r="V4" i="4"/>
  <c r="V5" i="4"/>
  <c r="V6" i="4"/>
  <c r="V7" i="4"/>
  <c r="V8" i="4"/>
  <c r="V9" i="4"/>
  <c r="V10" i="4"/>
  <c r="V11" i="4"/>
  <c r="V12" i="4"/>
  <c r="V13" i="4"/>
  <c r="C11" i="3"/>
  <c r="C10" i="3"/>
  <c r="C9" i="3"/>
  <c r="C8" i="3"/>
  <c r="C2" i="3"/>
  <c r="E23" i="2"/>
  <c r="E13" i="2"/>
  <c r="G18" i="1"/>
  <c r="E15" i="2"/>
  <c r="E14" i="2"/>
  <c r="C13" i="2"/>
  <c r="I4" i="2"/>
  <c r="K18" i="1"/>
  <c r="C11" i="2"/>
  <c r="C34" i="2"/>
  <c r="C17" i="2"/>
  <c r="E17" i="2"/>
  <c r="G8" i="1"/>
  <c r="I14" i="1"/>
  <c r="K18" i="3"/>
  <c r="I43" i="2"/>
  <c r="C35" i="2"/>
  <c r="I22" i="2"/>
  <c r="I47" i="2"/>
  <c r="C6" i="2"/>
  <c r="C40" i="2"/>
  <c r="I7" i="2"/>
  <c r="I20" i="2"/>
  <c r="I13" i="2"/>
  <c r="I19" i="2"/>
  <c r="F14" i="1"/>
  <c r="K12" i="3"/>
  <c r="C33" i="2"/>
  <c r="I18" i="2"/>
  <c r="I8" i="1"/>
  <c r="C50" i="2"/>
  <c r="I24" i="2"/>
  <c r="E8" i="2"/>
  <c r="C47" i="2"/>
  <c r="C10" i="2"/>
  <c r="F11" i="1"/>
  <c r="C48" i="2"/>
  <c r="I50" i="2"/>
  <c r="H11" i="1"/>
  <c r="E21" i="2"/>
  <c r="I44" i="2"/>
  <c r="C29" i="2"/>
  <c r="I12" i="2"/>
  <c r="C38" i="2"/>
  <c r="C19" i="2"/>
  <c r="K11" i="1"/>
  <c r="I9" i="2"/>
  <c r="E16" i="2"/>
  <c r="J11" i="1"/>
  <c r="C16" i="2"/>
  <c r="I29" i="2"/>
  <c r="K19" i="3"/>
  <c r="I34" i="2"/>
  <c r="E5" i="2"/>
  <c r="E9" i="2"/>
  <c r="I23" i="2"/>
  <c r="C7" i="2"/>
  <c r="L18" i="1"/>
  <c r="C41" i="2"/>
  <c r="C36" i="2"/>
  <c r="E11" i="2"/>
  <c r="E7" i="2"/>
  <c r="C5" i="2"/>
  <c r="C4" i="2"/>
  <c r="H14" i="1"/>
  <c r="I37" i="2"/>
  <c r="K8" i="1"/>
  <c r="I40" i="2"/>
  <c r="I21" i="2"/>
  <c r="C22" i="2"/>
  <c r="E24" i="2"/>
  <c r="C44" i="2"/>
  <c r="I8" i="2"/>
  <c r="I45" i="2"/>
  <c r="I25" i="2"/>
  <c r="E10" i="2"/>
  <c r="C37" i="2"/>
  <c r="G14" i="1"/>
  <c r="C14" i="2"/>
  <c r="K14" i="1"/>
  <c r="J14" i="1"/>
  <c r="E12" i="2"/>
  <c r="F8" i="1"/>
  <c r="I17" i="2"/>
  <c r="C42" i="2"/>
  <c r="I36" i="2"/>
  <c r="I32" i="2"/>
  <c r="I49" i="2"/>
  <c r="C31" i="2"/>
  <c r="I41" i="2"/>
  <c r="E18" i="2"/>
  <c r="I5" i="2"/>
  <c r="H18" i="1"/>
  <c r="E19" i="2"/>
  <c r="I30" i="2"/>
  <c r="I48" i="2"/>
  <c r="I11" i="2"/>
  <c r="L8" i="1"/>
  <c r="F18" i="1"/>
  <c r="I46" i="2"/>
  <c r="E3" i="3" a="1"/>
  <c r="C9" i="2"/>
  <c r="C24" i="2"/>
  <c r="I38" i="2"/>
  <c r="I33" i="2"/>
  <c r="C30" i="2"/>
  <c r="C46" i="2"/>
  <c r="C23" i="2"/>
  <c r="E20" i="2"/>
  <c r="C49" i="2"/>
  <c r="I16" i="2"/>
  <c r="C39" i="2"/>
  <c r="E6" i="2"/>
  <c r="I42" i="2"/>
  <c r="I31" i="2"/>
  <c r="H8" i="1"/>
  <c r="C18" i="2"/>
  <c r="L11" i="1"/>
  <c r="C45" i="2"/>
  <c r="I11" i="1"/>
  <c r="C21" i="2"/>
  <c r="I6" i="2"/>
  <c r="E4" i="2"/>
  <c r="C12" i="2"/>
  <c r="J8" i="1"/>
  <c r="I10" i="2"/>
  <c r="C8" i="2"/>
  <c r="C15" i="2"/>
  <c r="E22" i="2"/>
  <c r="L14" i="1"/>
  <c r="I14" i="2"/>
  <c r="C20" i="2"/>
  <c r="I39" i="2"/>
  <c r="I15" i="2"/>
  <c r="C43" i="2"/>
  <c r="K20" i="3"/>
  <c r="J18" i="1"/>
  <c r="E25" i="2"/>
  <c r="C32" i="2"/>
  <c r="I18" i="1"/>
  <c r="G11" i="1"/>
  <c r="I35" i="2"/>
  <c r="C25" i="2"/>
  <c r="E2" i="4"/>
  <c r="G2" i="4" s="1" a="1"/>
  <c r="K10" i="3"/>
  <c r="K9" i="3"/>
  <c r="K8" i="3"/>
  <c r="K2" i="3"/>
  <c r="H3" i="4" l="1"/>
  <c r="J4" i="4"/>
  <c r="L5" i="4"/>
  <c r="N6" i="4"/>
  <c r="P7" i="4"/>
  <c r="R8" i="4"/>
  <c r="T9" i="4"/>
  <c r="H11" i="4"/>
  <c r="J12" i="4"/>
  <c r="L13" i="4"/>
  <c r="N14" i="4"/>
  <c r="P15" i="4"/>
  <c r="R16" i="4"/>
  <c r="T17" i="4"/>
  <c r="H19" i="4"/>
  <c r="J20" i="4"/>
  <c r="I8" i="4"/>
  <c r="O19" i="4"/>
  <c r="G2" i="4"/>
  <c r="I3" i="4"/>
  <c r="K4" i="4"/>
  <c r="M5" i="4"/>
  <c r="O6" i="4"/>
  <c r="Q7" i="4"/>
  <c r="S8" i="4"/>
  <c r="G10" i="4"/>
  <c r="I11" i="4"/>
  <c r="K12" i="4"/>
  <c r="M13" i="4"/>
  <c r="O14" i="4"/>
  <c r="Q15" i="4"/>
  <c r="S16" i="4"/>
  <c r="G18" i="4"/>
  <c r="I19" i="4"/>
  <c r="K20" i="4"/>
  <c r="M10" i="4"/>
  <c r="H2" i="4"/>
  <c r="J3" i="4"/>
  <c r="L4" i="4"/>
  <c r="N5" i="4"/>
  <c r="P6" i="4"/>
  <c r="R7" i="4"/>
  <c r="T8" i="4"/>
  <c r="H10" i="4"/>
  <c r="J11" i="4"/>
  <c r="L12" i="4"/>
  <c r="N13" i="4"/>
  <c r="P14" i="4"/>
  <c r="R15" i="4"/>
  <c r="T16" i="4"/>
  <c r="H18" i="4"/>
  <c r="J19" i="4"/>
  <c r="L20" i="4"/>
  <c r="K9" i="4"/>
  <c r="I2" i="4"/>
  <c r="K3" i="4"/>
  <c r="M4" i="4"/>
  <c r="O5" i="4"/>
  <c r="Q6" i="4"/>
  <c r="S7" i="4"/>
  <c r="G9" i="4"/>
  <c r="I10" i="4"/>
  <c r="K11" i="4"/>
  <c r="M12" i="4"/>
  <c r="O13" i="4"/>
  <c r="Q14" i="4"/>
  <c r="S15" i="4"/>
  <c r="G17" i="4"/>
  <c r="I18" i="4"/>
  <c r="K19" i="4"/>
  <c r="M20" i="4"/>
  <c r="Q4" i="4"/>
  <c r="K17" i="4"/>
  <c r="J2" i="4"/>
  <c r="L3" i="4"/>
  <c r="N4" i="4"/>
  <c r="P5" i="4"/>
  <c r="R6" i="4"/>
  <c r="T7" i="4"/>
  <c r="H9" i="4"/>
  <c r="J10" i="4"/>
  <c r="L11" i="4"/>
  <c r="N12" i="4"/>
  <c r="P13" i="4"/>
  <c r="R14" i="4"/>
  <c r="T15" i="4"/>
  <c r="H17" i="4"/>
  <c r="J18" i="4"/>
  <c r="L19" i="4"/>
  <c r="N20" i="4"/>
  <c r="S5" i="4"/>
  <c r="I16" i="4"/>
  <c r="K2" i="4"/>
  <c r="M3" i="4"/>
  <c r="O4" i="4"/>
  <c r="Q5" i="4"/>
  <c r="S6" i="4"/>
  <c r="G8" i="4"/>
  <c r="I9" i="4"/>
  <c r="K10" i="4"/>
  <c r="M11" i="4"/>
  <c r="O12" i="4"/>
  <c r="Q13" i="4"/>
  <c r="S14" i="4"/>
  <c r="G16" i="4"/>
  <c r="I17" i="4"/>
  <c r="K18" i="4"/>
  <c r="M19" i="4"/>
  <c r="O20" i="4"/>
  <c r="O3" i="4"/>
  <c r="S13" i="4"/>
  <c r="L2" i="4"/>
  <c r="N3" i="4"/>
  <c r="P4" i="4"/>
  <c r="R5" i="4"/>
  <c r="T6" i="4"/>
  <c r="H8" i="4"/>
  <c r="J9" i="4"/>
  <c r="L10" i="4"/>
  <c r="N11" i="4"/>
  <c r="P12" i="4"/>
  <c r="R13" i="4"/>
  <c r="T14" i="4"/>
  <c r="H16" i="4"/>
  <c r="J17" i="4"/>
  <c r="L18" i="4"/>
  <c r="N19" i="4"/>
  <c r="P20" i="4"/>
  <c r="G7" i="4"/>
  <c r="M2" i="4"/>
  <c r="N2" i="4"/>
  <c r="P3" i="4"/>
  <c r="R4" i="4"/>
  <c r="T5" i="4"/>
  <c r="H7" i="4"/>
  <c r="J8" i="4"/>
  <c r="L9" i="4"/>
  <c r="N10" i="4"/>
  <c r="P11" i="4"/>
  <c r="R12" i="4"/>
  <c r="T13" i="4"/>
  <c r="H15" i="4"/>
  <c r="J16" i="4"/>
  <c r="L17" i="4"/>
  <c r="N18" i="4"/>
  <c r="P19" i="4"/>
  <c r="R20" i="4"/>
  <c r="O2" i="4"/>
  <c r="Q3" i="4"/>
  <c r="S4" i="4"/>
  <c r="G6" i="4"/>
  <c r="I7" i="4"/>
  <c r="K8" i="4"/>
  <c r="M9" i="4"/>
  <c r="O10" i="4"/>
  <c r="Q11" i="4"/>
  <c r="S12" i="4"/>
  <c r="G14" i="4"/>
  <c r="I15" i="4"/>
  <c r="K16" i="4"/>
  <c r="M17" i="4"/>
  <c r="O18" i="4"/>
  <c r="Q19" i="4"/>
  <c r="S20" i="4"/>
  <c r="G15" i="4"/>
  <c r="P2" i="4"/>
  <c r="R3" i="4"/>
  <c r="T4" i="4"/>
  <c r="H6" i="4"/>
  <c r="J7" i="4"/>
  <c r="L8" i="4"/>
  <c r="N9" i="4"/>
  <c r="P10" i="4"/>
  <c r="R11" i="4"/>
  <c r="T12" i="4"/>
  <c r="H14" i="4"/>
  <c r="J15" i="4"/>
  <c r="L16" i="4"/>
  <c r="N17" i="4"/>
  <c r="P18" i="4"/>
  <c r="R19" i="4"/>
  <c r="T20" i="4"/>
  <c r="Q12" i="4"/>
  <c r="Q2" i="4"/>
  <c r="S3" i="4"/>
  <c r="G5" i="4"/>
  <c r="I6" i="4"/>
  <c r="K7" i="4"/>
  <c r="M8" i="4"/>
  <c r="O9" i="4"/>
  <c r="Q10" i="4"/>
  <c r="S11" i="4"/>
  <c r="G13" i="4"/>
  <c r="I14" i="4"/>
  <c r="K15" i="4"/>
  <c r="M16" i="4"/>
  <c r="O17" i="4"/>
  <c r="Q18" i="4"/>
  <c r="S19" i="4"/>
  <c r="O11" i="4"/>
  <c r="R2" i="4"/>
  <c r="T3" i="4"/>
  <c r="H5" i="4"/>
  <c r="J6" i="4"/>
  <c r="L7" i="4"/>
  <c r="N8" i="4"/>
  <c r="P9" i="4"/>
  <c r="R10" i="4"/>
  <c r="T11" i="4"/>
  <c r="H13" i="4"/>
  <c r="J14" i="4"/>
  <c r="L15" i="4"/>
  <c r="N16" i="4"/>
  <c r="P17" i="4"/>
  <c r="R18" i="4"/>
  <c r="T19" i="4"/>
  <c r="S2" i="4"/>
  <c r="G4" i="4"/>
  <c r="I5" i="4"/>
  <c r="K6" i="4"/>
  <c r="M7" i="4"/>
  <c r="O8" i="4"/>
  <c r="Q9" i="4"/>
  <c r="S10" i="4"/>
  <c r="G12" i="4"/>
  <c r="I13" i="4"/>
  <c r="K14" i="4"/>
  <c r="M15" i="4"/>
  <c r="O16" i="4"/>
  <c r="Q17" i="4"/>
  <c r="S18" i="4"/>
  <c r="G20" i="4"/>
  <c r="T2" i="4"/>
  <c r="H4" i="4"/>
  <c r="J5" i="4"/>
  <c r="L6" i="4"/>
  <c r="N7" i="4"/>
  <c r="P8" i="4"/>
  <c r="R9" i="4"/>
  <c r="T10" i="4"/>
  <c r="H12" i="4"/>
  <c r="J13" i="4"/>
  <c r="L14" i="4"/>
  <c r="N15" i="4"/>
  <c r="P16" i="4"/>
  <c r="R17" i="4"/>
  <c r="T18" i="4"/>
  <c r="H20" i="4"/>
  <c r="Q20" i="4"/>
  <c r="G3" i="4"/>
  <c r="I4" i="4"/>
  <c r="K5" i="4"/>
  <c r="M6" i="4"/>
  <c r="O7" i="4"/>
  <c r="Q8" i="4"/>
  <c r="S9" i="4"/>
  <c r="G11" i="4"/>
  <c r="I12" i="4"/>
  <c r="K13" i="4"/>
  <c r="M14" i="4"/>
  <c r="O15" i="4"/>
  <c r="Q16" i="4"/>
  <c r="S17" i="4"/>
  <c r="G19" i="4"/>
  <c r="I20" i="4"/>
  <c r="M18" i="4"/>
  <c r="D25" i="2"/>
  <c r="F25" i="2" s="1"/>
  <c r="D20" i="2"/>
  <c r="F20" i="2" s="1"/>
  <c r="D15" i="2"/>
  <c r="F15" i="2" s="1"/>
  <c r="D8" i="2"/>
  <c r="F8" i="2" s="1"/>
  <c r="D12" i="2"/>
  <c r="F12" i="2" s="1"/>
  <c r="D21" i="2"/>
  <c r="F21" i="2" s="1"/>
  <c r="D18" i="2"/>
  <c r="F18" i="2" s="1"/>
  <c r="D23" i="2"/>
  <c r="F23" i="2" s="1"/>
  <c r="D24" i="2"/>
  <c r="F24" i="2" s="1"/>
  <c r="D9" i="2"/>
  <c r="F9" i="2" s="1"/>
  <c r="F4" i="3"/>
  <c r="E5" i="3"/>
  <c r="E3" i="3"/>
  <c r="F3" i="3"/>
  <c r="E4" i="3"/>
  <c r="F6" i="3"/>
  <c r="F5" i="3"/>
  <c r="E6" i="3"/>
  <c r="D14" i="2"/>
  <c r="F14" i="2" s="1"/>
  <c r="D22" i="2"/>
  <c r="F22" i="2" s="1"/>
  <c r="D4" i="2"/>
  <c r="F4" i="2" s="1"/>
  <c r="D5" i="2"/>
  <c r="F5" i="2" s="1"/>
  <c r="D7" i="2"/>
  <c r="F7" i="2" s="1"/>
  <c r="D16" i="2"/>
  <c r="F16" i="2" s="1"/>
  <c r="D19" i="2"/>
  <c r="F19" i="2" s="1"/>
  <c r="D10" i="2"/>
  <c r="F10" i="2" s="1"/>
  <c r="D6" i="2"/>
  <c r="F6" i="2" s="1"/>
  <c r="D17" i="2"/>
  <c r="F17" i="2" s="1"/>
  <c r="D11" i="2"/>
  <c r="F11" i="2" s="1"/>
  <c r="D13" i="2"/>
  <c r="F13" i="2" s="1"/>
  <c r="B1" i="1"/>
  <c r="U7" i="4"/>
  <c r="U13" i="4"/>
  <c r="U12" i="4"/>
  <c r="U11" i="4"/>
  <c r="U8" i="4"/>
  <c r="U2" i="4"/>
  <c r="U6" i="4"/>
  <c r="U9" i="4"/>
  <c r="U5" i="4"/>
  <c r="U3" i="4"/>
  <c r="U10" i="4"/>
  <c r="U4" i="4"/>
  <c r="V2" i="4" l="1"/>
</calcChain>
</file>

<file path=xl/sharedStrings.xml><?xml version="1.0" encoding="utf-8"?>
<sst xmlns="http://schemas.openxmlformats.org/spreadsheetml/2006/main" count="87" uniqueCount="46">
  <si>
    <t>NYB</t>
  </si>
  <si>
    <t>LNB</t>
  </si>
  <si>
    <t>UK Summer Bank Holiday</t>
  </si>
  <si>
    <t>Independence day</t>
  </si>
  <si>
    <t>LNB,NYB</t>
  </si>
  <si>
    <t>=oxlIsBusinessDay</t>
  </si>
  <si>
    <t>NYB,LNB</t>
  </si>
  <si>
    <t>=oxlIsHolidayDay</t>
  </si>
  <si>
    <t>Observed Juneteenth</t>
  </si>
  <si>
    <t>Juneteenth</t>
  </si>
  <si>
    <t>BoxingDay</t>
  </si>
  <si>
    <t>nyb</t>
  </si>
  <si>
    <t>lnb</t>
  </si>
  <si>
    <t>lnb,nyb</t>
  </si>
  <si>
    <t>nyb:lnb</t>
  </si>
  <si>
    <t>NYB;LNB</t>
  </si>
  <si>
    <t>LNB;NYB</t>
  </si>
  <si>
    <t>Start Date</t>
  </si>
  <si>
    <t>End Date</t>
  </si>
  <si>
    <t xml:space="preserve">Day Count </t>
  </si>
  <si>
    <t>ACT/360</t>
  </si>
  <si>
    <t>30/360</t>
  </si>
  <si>
    <t>30E/360EURO</t>
  </si>
  <si>
    <t>30E/360</t>
  </si>
  <si>
    <t xml:space="preserve">Memorial Day </t>
  </si>
  <si>
    <t xml:space="preserve">Day After Bxsing Day </t>
  </si>
  <si>
    <t>Base_Date</t>
  </si>
  <si>
    <t>Tenor</t>
  </si>
  <si>
    <t>Adjustment_Rule</t>
  </si>
  <si>
    <t>Calendar</t>
  </si>
  <si>
    <t/>
  </si>
  <si>
    <t>8M</t>
  </si>
  <si>
    <t>Following</t>
  </si>
  <si>
    <t>Days</t>
  </si>
  <si>
    <t>Start_Date</t>
  </si>
  <si>
    <t>Mat_Date</t>
  </si>
  <si>
    <t>Rate</t>
  </si>
  <si>
    <t>Day_Count_Frac</t>
  </si>
  <si>
    <t>Frequency</t>
  </si>
  <si>
    <t>Date_Dir</t>
  </si>
  <si>
    <t>Stub_Type</t>
  </si>
  <si>
    <t>ACT/ACT</t>
  </si>
  <si>
    <t>SA</t>
  </si>
  <si>
    <t>Backwards</t>
  </si>
  <si>
    <t>Notional</t>
  </si>
  <si>
    <t>shortlast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</si>
</sst>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2" xfId="0" applyBorder="1"/>
    <xf numFmtId="14" fontId="0" fillId="0" borderId="7" xfId="0" applyNumberFormat="1" applyBorder="1"/>
    <xf numFmtId="14" fontId="0" fillId="0" borderId="8" xfId="0" applyNumberFormat="1" applyBorder="1"/>
    <xf numFmtId="14" fontId="0" fillId="0" borderId="9" xfId="0" applyNumberFormat="1" applyBorder="1"/>
    <xf numFmtId="0" fontId="0" fillId="0" borderId="3" xfId="0" applyBorder="1"/>
    <xf numFmtId="0" fontId="0" fillId="0" borderId="4" xfId="0" applyBorder="1"/>
    <xf numFmtId="14" fontId="0" fillId="0" borderId="5" xfId="0" applyNumberFormat="1" applyBorder="1"/>
    <xf numFmtId="14" fontId="0" fillId="0" borderId="6" xfId="0" applyNumberFormat="1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43" fontId="0" fillId="0" borderId="0" xfId="1" applyFont="1"/>
    <xf numFmtId="4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5541-6074-4C5E-B131-7466FA391955}">
  <sheetPr codeName="Sheet1"/>
  <dimension ref="B1:L18"/>
  <sheetViews>
    <sheetView workbookViewId="0">
      <selection activeCell="E11" sqref="E11"/>
    </sheetView>
  </sheetViews>
  <sheetFormatPr defaultRowHeight="15" x14ac:dyDescent="0.25"/>
  <cols>
    <col min="5" max="5" width="17.42578125" bestFit="1" customWidth="1"/>
    <col min="6" max="6" width="17.7109375" bestFit="1" customWidth="1"/>
    <col min="7" max="7" width="23.5703125" bestFit="1" customWidth="1"/>
    <col min="8" max="8" width="11.140625" bestFit="1" customWidth="1"/>
    <col min="9" max="9" width="20.42578125" bestFit="1" customWidth="1"/>
    <col min="10" max="10" width="10.7109375" bestFit="1" customWidth="1"/>
    <col min="11" max="11" width="20" bestFit="1" customWidth="1"/>
    <col min="12" max="12" width="9.5703125" bestFit="1" customWidth="1"/>
  </cols>
  <sheetData>
    <row r="1" spans="2:12" x14ac:dyDescent="0.25">
      <c r="B1" t="str">
        <f>ComputeDate!C2</f>
        <v>Dictionary_ComputeDate_$1$2:0</v>
      </c>
    </row>
    <row r="5" spans="2:12" x14ac:dyDescent="0.25">
      <c r="F5" t="s">
        <v>3</v>
      </c>
      <c r="G5" t="s">
        <v>2</v>
      </c>
      <c r="H5" t="s">
        <v>9</v>
      </c>
      <c r="I5" t="s">
        <v>8</v>
      </c>
      <c r="J5" t="s">
        <v>10</v>
      </c>
      <c r="K5" t="s">
        <v>25</v>
      </c>
      <c r="L5" t="s">
        <v>24</v>
      </c>
    </row>
    <row r="6" spans="2:12" x14ac:dyDescent="0.25">
      <c r="F6" s="1">
        <v>44746</v>
      </c>
      <c r="G6" s="1">
        <v>45166</v>
      </c>
      <c r="H6" s="1">
        <v>46557</v>
      </c>
      <c r="I6" s="1">
        <v>46558</v>
      </c>
      <c r="J6" s="1">
        <v>46384</v>
      </c>
      <c r="K6" s="1">
        <v>46385</v>
      </c>
      <c r="L6" s="1">
        <v>45074</v>
      </c>
    </row>
    <row r="7" spans="2:12" x14ac:dyDescent="0.25"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11</v>
      </c>
      <c r="L7" t="s">
        <v>0</v>
      </c>
    </row>
    <row r="8" spans="2:12" x14ac:dyDescent="0.25">
      <c r="E8" s="2" t="s">
        <v>5</v>
      </c>
      <c r="F8" t="b">
        <f>_xll.oxlIsBusinessDay($F$6,F7)</f>
        <v>0</v>
      </c>
      <c r="G8" t="b">
        <f>_xll.oxlIsBusinessDay(G6,G7)</f>
        <v>1</v>
      </c>
      <c r="H8" t="b">
        <f>_xll.oxlIsBusinessDay(H6,H7)</f>
        <v>0</v>
      </c>
      <c r="I8" t="b">
        <f>_xll.oxlIsBusinessDay(I6,I7)</f>
        <v>0</v>
      </c>
      <c r="J8" t="b">
        <f>_xll.oxlIsBusinessDay(J6,J7)</f>
        <v>1</v>
      </c>
      <c r="K8" t="b">
        <f>_xll.oxlIsBusinessDay(K6,K7)</f>
        <v>1</v>
      </c>
      <c r="L8" t="b">
        <f>_xll.oxlIsBusinessDay(L6,L7)</f>
        <v>0</v>
      </c>
    </row>
    <row r="10" spans="2:12" x14ac:dyDescent="0.25"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12</v>
      </c>
      <c r="L10" t="s">
        <v>1</v>
      </c>
    </row>
    <row r="11" spans="2:12" x14ac:dyDescent="0.25">
      <c r="E11" s="2" t="s">
        <v>5</v>
      </c>
      <c r="F11" t="b">
        <f>_xll.oxlIsBusinessDay(F$6,F10)</f>
        <v>1</v>
      </c>
      <c r="G11" t="b">
        <f>_xll.oxlIsBusinessDay(G$6,G10)</f>
        <v>0</v>
      </c>
      <c r="H11" t="b">
        <f>_xll.oxlIsBusinessDay(H$6,H10)</f>
        <v>0</v>
      </c>
      <c r="I11" t="b">
        <f>_xll.oxlIsBusinessDay(I$6,I10)</f>
        <v>0</v>
      </c>
      <c r="J11" t="b">
        <f>_xll.oxlIsBusinessDay(J$6,J10)</f>
        <v>0</v>
      </c>
      <c r="K11" t="b">
        <f>_xll.oxlIsBusinessDay(K$6,K10)</f>
        <v>1</v>
      </c>
      <c r="L11" t="b">
        <f>_xll.oxlIsBusinessDay(L6,L10)</f>
        <v>0</v>
      </c>
    </row>
    <row r="13" spans="2:12" x14ac:dyDescent="0.25">
      <c r="F13" t="s">
        <v>4</v>
      </c>
      <c r="G13" t="s">
        <v>4</v>
      </c>
      <c r="H13" t="s">
        <v>16</v>
      </c>
      <c r="I13" t="s">
        <v>4</v>
      </c>
      <c r="J13" t="s">
        <v>4</v>
      </c>
      <c r="K13" t="s">
        <v>13</v>
      </c>
      <c r="L13" t="s">
        <v>13</v>
      </c>
    </row>
    <row r="14" spans="2:12" x14ac:dyDescent="0.25">
      <c r="E14" s="2" t="s">
        <v>5</v>
      </c>
      <c r="F14" t="b">
        <f>_xll.oxlIsBusinessDay(F$6,F13)</f>
        <v>0</v>
      </c>
      <c r="G14" t="b">
        <f>_xll.oxlIsBusinessDay(G$6,G13)</f>
        <v>0</v>
      </c>
      <c r="H14" t="b">
        <f>_xll.oxlIsBusinessDay(H$6,H13)</f>
        <v>0</v>
      </c>
      <c r="I14" t="b">
        <f>_xll.oxlIsBusinessDay(I$6,I13)</f>
        <v>0</v>
      </c>
      <c r="J14" t="b">
        <f>_xll.oxlIsBusinessDay(J$6,J13)</f>
        <v>0</v>
      </c>
      <c r="K14" t="b">
        <f>_xll.oxlIsBusinessDay(K$6,K13)</f>
        <v>1</v>
      </c>
      <c r="L14" t="b">
        <f>_xll.oxlIsBusinessDay(L$6,L13)</f>
        <v>0</v>
      </c>
    </row>
    <row r="17" spans="5:12" x14ac:dyDescent="0.25">
      <c r="F17" t="s">
        <v>6</v>
      </c>
      <c r="G17" t="s">
        <v>6</v>
      </c>
      <c r="H17" t="s">
        <v>15</v>
      </c>
      <c r="I17" t="s">
        <v>6</v>
      </c>
      <c r="J17" t="s">
        <v>6</v>
      </c>
      <c r="K17" t="s">
        <v>14</v>
      </c>
      <c r="L17" t="s">
        <v>6</v>
      </c>
    </row>
    <row r="18" spans="5:12" x14ac:dyDescent="0.25">
      <c r="E18" s="2" t="s">
        <v>7</v>
      </c>
      <c r="F18" t="b">
        <f>_xll.oxlIsHolidayDay(F$6,F$17)</f>
        <v>1</v>
      </c>
      <c r="G18" t="b">
        <f>_xll.oxlIsHolidayDay(G$6,G$17)</f>
        <v>1</v>
      </c>
      <c r="H18" t="b">
        <f>_xll.oxlIsHolidayDay(H$6,H$17)</f>
        <v>1</v>
      </c>
      <c r="I18" t="b">
        <f>_xll.oxlIsHolidayDay(I$6,I$17)</f>
        <v>1</v>
      </c>
      <c r="J18" t="b">
        <f>_xll.oxlIsHolidayDay(J$6,J$17)</f>
        <v>1</v>
      </c>
      <c r="K18" t="b">
        <f>_xll.oxlIsHolidayDay(K$6,K$17)</f>
        <v>0</v>
      </c>
      <c r="L18" t="b">
        <f>_xll.oxlIsHolidayDay(L$6,L$17)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CD9EC-9790-480B-9B33-A26F15505398}">
  <sheetPr codeName="Sheet2"/>
  <dimension ref="A2:M54"/>
  <sheetViews>
    <sheetView topLeftCell="A40" workbookViewId="0">
      <selection activeCell="C47" sqref="C47"/>
    </sheetView>
  </sheetViews>
  <sheetFormatPr defaultRowHeight="15" x14ac:dyDescent="0.25"/>
  <cols>
    <col min="1" max="2" width="10.7109375" bestFit="1" customWidth="1"/>
    <col min="3" max="3" width="10.42578125" bestFit="1" customWidth="1"/>
    <col min="4" max="5" width="10.7109375" bestFit="1" customWidth="1"/>
    <col min="6" max="6" width="10.42578125" bestFit="1" customWidth="1"/>
    <col min="7" max="8" width="10.7109375" bestFit="1" customWidth="1"/>
    <col min="9" max="9" width="10.42578125" bestFit="1" customWidth="1"/>
    <col min="12" max="13" width="9.5703125" bestFit="1" customWidth="1"/>
  </cols>
  <sheetData>
    <row r="2" spans="1:13" x14ac:dyDescent="0.25">
      <c r="A2" s="12" t="s">
        <v>21</v>
      </c>
      <c r="B2" s="13"/>
      <c r="C2" s="14"/>
      <c r="G2" s="12" t="s">
        <v>22</v>
      </c>
      <c r="H2" s="13"/>
      <c r="I2" s="14"/>
    </row>
    <row r="3" spans="1:13" x14ac:dyDescent="0.25">
      <c r="A3" s="8" t="s">
        <v>17</v>
      </c>
      <c r="B3" s="8" t="s">
        <v>18</v>
      </c>
      <c r="C3" s="8" t="s">
        <v>19</v>
      </c>
      <c r="G3" s="8" t="s">
        <v>17</v>
      </c>
      <c r="H3" s="8" t="s">
        <v>18</v>
      </c>
      <c r="I3" s="8" t="s">
        <v>19</v>
      </c>
    </row>
    <row r="4" spans="1:13" x14ac:dyDescent="0.25">
      <c r="A4" s="9">
        <v>39097</v>
      </c>
      <c r="B4" s="10">
        <v>39112</v>
      </c>
      <c r="C4" s="11">
        <f>_xll.oxlComputeDayCount(A4,B4,A$2)</f>
        <v>15</v>
      </c>
      <c r="D4" s="15">
        <f>C4/360</f>
        <v>4.1666666666666664E-2</v>
      </c>
      <c r="E4" s="15">
        <f>_xll.oxlComputeYearFraction(A4,B4,$A$2)</f>
        <v>4.1666666666666664E-2</v>
      </c>
      <c r="F4" s="15">
        <f>D4-E4</f>
        <v>0</v>
      </c>
      <c r="G4" s="4">
        <v>39097</v>
      </c>
      <c r="H4" s="1">
        <v>39112</v>
      </c>
      <c r="I4" s="3">
        <f>_xll.oxlComputeDayCount(G4,H4,G$2)</f>
        <v>15</v>
      </c>
      <c r="L4" s="1"/>
      <c r="M4" s="1"/>
    </row>
    <row r="5" spans="1:13" x14ac:dyDescent="0.25">
      <c r="A5" s="4">
        <v>39097</v>
      </c>
      <c r="B5" s="1">
        <v>39128</v>
      </c>
      <c r="C5" s="3">
        <f>_xll.oxlComputeDayCount(A5,B5,A$2)</f>
        <v>30</v>
      </c>
      <c r="D5" s="15">
        <f>C5/360</f>
        <v>8.3333333333333329E-2</v>
      </c>
      <c r="E5" s="15">
        <f>_xll.oxlComputeYearFraction(A5,B5,$A$2)</f>
        <v>8.3333333333333329E-2</v>
      </c>
      <c r="F5" s="15">
        <f t="shared" ref="F5:F25" si="0">D5-E5</f>
        <v>0</v>
      </c>
      <c r="G5" s="4">
        <v>39097</v>
      </c>
      <c r="H5" s="1">
        <v>39128</v>
      </c>
      <c r="I5" s="3">
        <f>_xll.oxlComputeDayCount(G5,H5,G$2)</f>
        <v>30</v>
      </c>
    </row>
    <row r="6" spans="1:13" x14ac:dyDescent="0.25">
      <c r="A6" s="4">
        <v>39097</v>
      </c>
      <c r="B6" s="1">
        <v>39278</v>
      </c>
      <c r="C6" s="3">
        <f>_xll.oxlComputeDayCount(A6,B6,A$2)</f>
        <v>180</v>
      </c>
      <c r="D6" s="15">
        <f t="shared" ref="D6:D25" si="1">C6/360</f>
        <v>0.5</v>
      </c>
      <c r="E6" s="15">
        <f>_xll.oxlComputeYearFraction(A6,B6,$A$2)</f>
        <v>0.5</v>
      </c>
      <c r="F6" s="15">
        <f t="shared" si="0"/>
        <v>0</v>
      </c>
      <c r="G6" s="4">
        <v>39097</v>
      </c>
      <c r="H6" s="1">
        <v>39278</v>
      </c>
      <c r="I6" s="3">
        <f>_xll.oxlComputeDayCount(G6,H6,G$2)</f>
        <v>180</v>
      </c>
    </row>
    <row r="7" spans="1:13" x14ac:dyDescent="0.25">
      <c r="A7" s="4">
        <v>39355</v>
      </c>
      <c r="B7" s="1">
        <v>39538</v>
      </c>
      <c r="C7" s="3">
        <f>_xll.oxlComputeDayCount(A7,B7,A$2)</f>
        <v>180</v>
      </c>
      <c r="D7" s="15">
        <f t="shared" si="1"/>
        <v>0.5</v>
      </c>
      <c r="E7" s="15">
        <f>_xll.oxlComputeYearFraction(A7,B7,$A$2)</f>
        <v>0.5</v>
      </c>
      <c r="F7" s="15">
        <f t="shared" si="0"/>
        <v>0</v>
      </c>
      <c r="G7" s="4">
        <v>39355</v>
      </c>
      <c r="H7" s="1">
        <v>39538</v>
      </c>
      <c r="I7" s="3">
        <f>_xll.oxlComputeDayCount(G7,H7,G$2)</f>
        <v>180</v>
      </c>
    </row>
    <row r="8" spans="1:13" x14ac:dyDescent="0.25">
      <c r="A8" s="4">
        <v>39355</v>
      </c>
      <c r="B8" s="1">
        <v>39386</v>
      </c>
      <c r="C8" s="3">
        <f>_xll.oxlComputeDayCount(A8,B8,A$2)</f>
        <v>30</v>
      </c>
      <c r="D8" s="15">
        <f t="shared" si="1"/>
        <v>8.3333333333333329E-2</v>
      </c>
      <c r="E8" s="15">
        <f>_xll.oxlComputeYearFraction(A8,B8,$A$2)</f>
        <v>8.3333333333333329E-2</v>
      </c>
      <c r="F8" s="15">
        <f t="shared" si="0"/>
        <v>0</v>
      </c>
      <c r="G8" s="4">
        <v>39355</v>
      </c>
      <c r="H8" s="1">
        <v>39386</v>
      </c>
      <c r="I8" s="3">
        <f>_xll.oxlComputeDayCount(G8,H8,G$2)</f>
        <v>30</v>
      </c>
    </row>
    <row r="9" spans="1:13" x14ac:dyDescent="0.25">
      <c r="A9" s="4">
        <v>39355</v>
      </c>
      <c r="B9" s="1">
        <v>39721</v>
      </c>
      <c r="C9" s="3">
        <f>_xll.oxlComputeDayCount(A9,B9,A$2)</f>
        <v>360</v>
      </c>
      <c r="D9" s="15">
        <f t="shared" si="1"/>
        <v>1</v>
      </c>
      <c r="E9" s="15">
        <f>_xll.oxlComputeYearFraction(A9,B9,$A$2)</f>
        <v>1</v>
      </c>
      <c r="F9" s="15">
        <f t="shared" si="0"/>
        <v>0</v>
      </c>
      <c r="G9" s="4">
        <v>39355</v>
      </c>
      <c r="H9" s="1">
        <v>39721</v>
      </c>
      <c r="I9" s="3">
        <f>_xll.oxlComputeDayCount(G9,H9,G$2)</f>
        <v>360</v>
      </c>
    </row>
    <row r="10" spans="1:13" x14ac:dyDescent="0.25">
      <c r="A10" s="4">
        <v>39097</v>
      </c>
      <c r="B10" s="1">
        <v>39113</v>
      </c>
      <c r="C10" s="3">
        <f>_xll.oxlComputeDayCount(A10,B10,A$2)</f>
        <v>16</v>
      </c>
      <c r="D10" s="15">
        <f t="shared" si="1"/>
        <v>4.4444444444444446E-2</v>
      </c>
      <c r="E10" s="15">
        <f>_xll.oxlComputeYearFraction(A10,B10,$A$2)</f>
        <v>4.4444444444444446E-2</v>
      </c>
      <c r="F10" s="15">
        <f t="shared" si="0"/>
        <v>0</v>
      </c>
      <c r="G10" s="4">
        <v>39097</v>
      </c>
      <c r="H10" s="1">
        <v>39113</v>
      </c>
      <c r="I10" s="3">
        <f>_xll.oxlComputeDayCount(G10,H10,G$2)</f>
        <v>15</v>
      </c>
    </row>
    <row r="11" spans="1:13" x14ac:dyDescent="0.25">
      <c r="A11" s="4">
        <v>39113</v>
      </c>
      <c r="B11" s="1">
        <v>39141</v>
      </c>
      <c r="C11" s="3">
        <f>_xll.oxlComputeDayCount(A11,B11,A$2)</f>
        <v>28</v>
      </c>
      <c r="D11" s="15">
        <f t="shared" si="1"/>
        <v>7.7777777777777779E-2</v>
      </c>
      <c r="E11" s="15">
        <f>_xll.oxlComputeYearFraction(A11,B11,$A$2)</f>
        <v>7.7777777777777779E-2</v>
      </c>
      <c r="F11" s="15">
        <f t="shared" si="0"/>
        <v>0</v>
      </c>
      <c r="G11" s="4">
        <v>39113</v>
      </c>
      <c r="H11" s="1">
        <v>39141</v>
      </c>
      <c r="I11" s="3">
        <f>_xll.oxlComputeDayCount(G11,H11,G$2)</f>
        <v>28</v>
      </c>
    </row>
    <row r="12" spans="1:13" x14ac:dyDescent="0.25">
      <c r="A12" s="4">
        <v>39141</v>
      </c>
      <c r="B12" s="1">
        <v>39172</v>
      </c>
      <c r="C12" s="3">
        <f>_xll.oxlComputeDayCount(A12,B12,A$2)</f>
        <v>33</v>
      </c>
      <c r="D12" s="15">
        <f t="shared" si="1"/>
        <v>9.166666666666666E-2</v>
      </c>
      <c r="E12" s="15">
        <f>_xll.oxlComputeYearFraction(A12,B12,$A$2)</f>
        <v>9.166666666666666E-2</v>
      </c>
      <c r="F12" s="15">
        <f t="shared" si="0"/>
        <v>0</v>
      </c>
      <c r="G12" s="4">
        <v>39141</v>
      </c>
      <c r="H12" s="1">
        <v>39172</v>
      </c>
      <c r="I12" s="3">
        <f>_xll.oxlComputeDayCount(G12,H12,G$2)</f>
        <v>32</v>
      </c>
    </row>
    <row r="13" spans="1:13" x14ac:dyDescent="0.25">
      <c r="A13" s="4">
        <v>38960</v>
      </c>
      <c r="B13" s="1">
        <v>39141</v>
      </c>
      <c r="C13" s="3">
        <f>_xll.oxlComputeDayCount(A13,B13,A$2)</f>
        <v>178</v>
      </c>
      <c r="D13" s="15">
        <f t="shared" si="1"/>
        <v>0.49444444444444446</v>
      </c>
      <c r="E13" s="15">
        <f>_xll.oxlComputeYearFraction(A13,B13,$A$2)</f>
        <v>0.49444444444444446</v>
      </c>
      <c r="F13" s="15">
        <f t="shared" si="0"/>
        <v>0</v>
      </c>
      <c r="G13" s="4">
        <v>38960</v>
      </c>
      <c r="H13" s="1">
        <v>39141</v>
      </c>
      <c r="I13" s="3">
        <f>_xll.oxlComputeDayCount(G13,H13,G$2)</f>
        <v>178</v>
      </c>
    </row>
    <row r="14" spans="1:13" x14ac:dyDescent="0.25">
      <c r="A14" s="4">
        <v>39141</v>
      </c>
      <c r="B14" s="1">
        <v>39325</v>
      </c>
      <c r="C14" s="3">
        <f>_xll.oxlComputeDayCount(A14,B14,A$2)</f>
        <v>183</v>
      </c>
      <c r="D14" s="15">
        <f t="shared" si="1"/>
        <v>0.5083333333333333</v>
      </c>
      <c r="E14" s="15">
        <f>_xll.oxlComputeYearFraction(A14,B14,$A$2)</f>
        <v>0.5083333333333333</v>
      </c>
      <c r="F14" s="15">
        <f t="shared" si="0"/>
        <v>0</v>
      </c>
      <c r="G14" s="4">
        <v>39141</v>
      </c>
      <c r="H14" s="1">
        <v>39325</v>
      </c>
      <c r="I14" s="3">
        <f>_xll.oxlComputeDayCount(G14,H14,G$2)</f>
        <v>182</v>
      </c>
    </row>
    <row r="15" spans="1:13" x14ac:dyDescent="0.25">
      <c r="A15" s="4">
        <v>39127</v>
      </c>
      <c r="B15" s="1">
        <v>39141</v>
      </c>
      <c r="C15" s="3">
        <f>_xll.oxlComputeDayCount(A15,B15,A$2)</f>
        <v>14</v>
      </c>
      <c r="D15" s="15">
        <f t="shared" si="1"/>
        <v>3.888888888888889E-2</v>
      </c>
      <c r="E15" s="15">
        <f>_xll.oxlComputeYearFraction(A15,B15,$A$2)</f>
        <v>3.888888888888889E-2</v>
      </c>
      <c r="F15" s="15">
        <f t="shared" si="0"/>
        <v>0</v>
      </c>
      <c r="G15" s="4">
        <v>39127</v>
      </c>
      <c r="H15" s="1">
        <v>39141</v>
      </c>
      <c r="I15" s="3">
        <f>_xll.oxlComputeDayCount(G15,H15,G$2)</f>
        <v>14</v>
      </c>
    </row>
    <row r="16" spans="1:13" x14ac:dyDescent="0.25">
      <c r="A16" s="4">
        <v>39139</v>
      </c>
      <c r="B16" s="1">
        <v>39507</v>
      </c>
      <c r="C16" s="3">
        <f>_xll.oxlComputeDayCount(A16,B16,A$2)</f>
        <v>363</v>
      </c>
      <c r="D16" s="15">
        <f t="shared" si="1"/>
        <v>1.0083333333333333</v>
      </c>
      <c r="E16" s="15">
        <f>_xll.oxlComputeYearFraction(A16,B16,$A$2)</f>
        <v>1.0083333333333333</v>
      </c>
      <c r="F16" s="15">
        <f t="shared" si="0"/>
        <v>0</v>
      </c>
      <c r="G16" s="4">
        <v>39139</v>
      </c>
      <c r="H16" s="1">
        <v>39507</v>
      </c>
      <c r="I16" s="3">
        <f>_xll.oxlComputeDayCount(G16,H16,G$2)</f>
        <v>363</v>
      </c>
    </row>
    <row r="17" spans="1:9" x14ac:dyDescent="0.25">
      <c r="A17" s="4">
        <v>39507</v>
      </c>
      <c r="B17" s="1">
        <v>39872</v>
      </c>
      <c r="C17" s="3">
        <f>_xll.oxlComputeDayCount(A17,B17,A$2)</f>
        <v>359</v>
      </c>
      <c r="D17" s="15">
        <f t="shared" si="1"/>
        <v>0.99722222222222223</v>
      </c>
      <c r="E17" s="15">
        <f>_xll.oxlComputeYearFraction(A17,B17,$A$2)</f>
        <v>0.99722222222222223</v>
      </c>
      <c r="F17" s="15">
        <f t="shared" si="0"/>
        <v>0</v>
      </c>
      <c r="G17" s="4">
        <v>39507</v>
      </c>
      <c r="H17" s="1">
        <v>39872</v>
      </c>
      <c r="I17" s="3">
        <f>_xll.oxlComputeDayCount(G17,H17,G$2)</f>
        <v>359</v>
      </c>
    </row>
    <row r="18" spans="1:9" x14ac:dyDescent="0.25">
      <c r="A18" s="4">
        <v>39507</v>
      </c>
      <c r="B18" s="1">
        <v>39537</v>
      </c>
      <c r="C18" s="3">
        <f>_xll.oxlComputeDayCount(A18,B18,A$2)</f>
        <v>31</v>
      </c>
      <c r="D18" s="15">
        <f t="shared" si="1"/>
        <v>8.611111111111111E-2</v>
      </c>
      <c r="E18" s="15">
        <f>_xll.oxlComputeYearFraction(A18,B18,$A$2)</f>
        <v>8.611111111111111E-2</v>
      </c>
      <c r="F18" s="15">
        <f t="shared" si="0"/>
        <v>0</v>
      </c>
      <c r="G18" s="4">
        <v>39507</v>
      </c>
      <c r="H18" s="1">
        <v>39537</v>
      </c>
      <c r="I18" s="3">
        <f>_xll.oxlComputeDayCount(G18,H18,G$2)</f>
        <v>31</v>
      </c>
    </row>
    <row r="19" spans="1:9" x14ac:dyDescent="0.25">
      <c r="A19" s="4">
        <v>39507</v>
      </c>
      <c r="B19" s="1">
        <v>39538</v>
      </c>
      <c r="C19" s="3">
        <f>_xll.oxlComputeDayCount(A19,B19,A$2)</f>
        <v>32</v>
      </c>
      <c r="D19" s="15">
        <f t="shared" si="1"/>
        <v>8.8888888888888892E-2</v>
      </c>
      <c r="E19" s="15">
        <f>_xll.oxlComputeYearFraction(A19,B19,$A$2)</f>
        <v>8.8888888888888892E-2</v>
      </c>
      <c r="F19" s="15">
        <f t="shared" si="0"/>
        <v>0</v>
      </c>
      <c r="G19" s="4">
        <v>39507</v>
      </c>
      <c r="H19" s="1">
        <v>39538</v>
      </c>
      <c r="I19" s="3">
        <f>_xll.oxlComputeDayCount(G19,H19,G$2)</f>
        <v>31</v>
      </c>
    </row>
    <row r="20" spans="1:9" x14ac:dyDescent="0.25">
      <c r="A20" s="4">
        <v>39141</v>
      </c>
      <c r="B20" s="1">
        <v>39146</v>
      </c>
      <c r="C20" s="3">
        <f>_xll.oxlComputeDayCount(A20,B20,A$2)</f>
        <v>7</v>
      </c>
      <c r="D20" s="15">
        <f t="shared" si="1"/>
        <v>1.9444444444444445E-2</v>
      </c>
      <c r="E20" s="15">
        <f>_xll.oxlComputeYearFraction(A20,B20,$A$2)</f>
        <v>1.9444444444444445E-2</v>
      </c>
      <c r="F20" s="15">
        <f t="shared" si="0"/>
        <v>0</v>
      </c>
      <c r="G20" s="4">
        <v>39141</v>
      </c>
      <c r="H20" s="1">
        <v>39146</v>
      </c>
      <c r="I20" s="3">
        <f>_xll.oxlComputeDayCount(G20,H20,G$2)</f>
        <v>7</v>
      </c>
    </row>
    <row r="21" spans="1:9" x14ac:dyDescent="0.25">
      <c r="A21" s="4">
        <v>39386</v>
      </c>
      <c r="B21" s="1">
        <v>39414</v>
      </c>
      <c r="C21" s="3">
        <f>_xll.oxlComputeDayCount(A21,B21,A$2)</f>
        <v>28</v>
      </c>
      <c r="D21" s="15">
        <f t="shared" si="1"/>
        <v>7.7777777777777779E-2</v>
      </c>
      <c r="E21" s="15">
        <f>_xll.oxlComputeYearFraction(A21,B21,$A$2)</f>
        <v>7.7777777777777779E-2</v>
      </c>
      <c r="F21" s="15">
        <f t="shared" si="0"/>
        <v>0</v>
      </c>
      <c r="G21" s="4">
        <v>39386</v>
      </c>
      <c r="H21" s="1">
        <v>39414</v>
      </c>
      <c r="I21" s="3">
        <f>_xll.oxlComputeDayCount(G21,H21,G$2)</f>
        <v>28</v>
      </c>
    </row>
    <row r="22" spans="1:9" x14ac:dyDescent="0.25">
      <c r="A22" s="4">
        <v>39325</v>
      </c>
      <c r="B22" s="1">
        <v>39507</v>
      </c>
      <c r="C22" s="3">
        <f>_xll.oxlComputeDayCount(A22,B22,A$2)</f>
        <v>179</v>
      </c>
      <c r="D22" s="15">
        <f t="shared" si="1"/>
        <v>0.49722222222222223</v>
      </c>
      <c r="E22" s="15">
        <f>_xll.oxlComputeYearFraction(A22,B22,$A$2)</f>
        <v>0.49722222222222223</v>
      </c>
      <c r="F22" s="15">
        <f t="shared" si="0"/>
        <v>0</v>
      </c>
      <c r="G22" s="4">
        <v>39325</v>
      </c>
      <c r="H22" s="1">
        <v>39507</v>
      </c>
      <c r="I22" s="3">
        <f>_xll.oxlComputeDayCount(G22,H22,G$2)</f>
        <v>179</v>
      </c>
    </row>
    <row r="23" spans="1:9" x14ac:dyDescent="0.25">
      <c r="A23" s="4">
        <v>39507</v>
      </c>
      <c r="B23" s="1">
        <v>39691</v>
      </c>
      <c r="C23" s="3">
        <f>_xll.oxlComputeDayCount(A23,B23,A$2)</f>
        <v>182</v>
      </c>
      <c r="D23" s="15">
        <f t="shared" si="1"/>
        <v>0.50555555555555554</v>
      </c>
      <c r="E23" s="15">
        <f>_xll.oxlComputeYearFraction(A23,B23,$A$2)</f>
        <v>0.50555555555555554</v>
      </c>
      <c r="F23" s="15">
        <f t="shared" si="0"/>
        <v>0</v>
      </c>
      <c r="G23" s="4">
        <v>39507</v>
      </c>
      <c r="H23" s="1">
        <v>39691</v>
      </c>
      <c r="I23" s="3">
        <f>_xll.oxlComputeDayCount(G23,H23,G$2)</f>
        <v>181</v>
      </c>
    </row>
    <row r="24" spans="1:9" x14ac:dyDescent="0.25">
      <c r="A24" s="4">
        <v>39691</v>
      </c>
      <c r="B24" s="1">
        <v>39872</v>
      </c>
      <c r="C24" s="3">
        <f>_xll.oxlComputeDayCount(A24,B24,A$2)</f>
        <v>178</v>
      </c>
      <c r="D24" s="15">
        <f t="shared" si="1"/>
        <v>0.49444444444444446</v>
      </c>
      <c r="E24" s="15">
        <f>_xll.oxlComputeYearFraction(A24,B24,$A$2)</f>
        <v>0.49444444444444446</v>
      </c>
      <c r="F24" s="15">
        <f t="shared" si="0"/>
        <v>0</v>
      </c>
      <c r="G24" s="4">
        <v>39691</v>
      </c>
      <c r="H24" s="1">
        <v>39872</v>
      </c>
      <c r="I24" s="3">
        <f>_xll.oxlComputeDayCount(G24,H24,G$2)</f>
        <v>178</v>
      </c>
    </row>
    <row r="25" spans="1:9" x14ac:dyDescent="0.25">
      <c r="A25" s="5">
        <v>39872</v>
      </c>
      <c r="B25" s="6">
        <v>40056</v>
      </c>
      <c r="C25" s="7">
        <f>_xll.oxlComputeDayCount(A25,B25,A$2)</f>
        <v>183</v>
      </c>
      <c r="D25" s="15">
        <f t="shared" si="1"/>
        <v>0.5083333333333333</v>
      </c>
      <c r="E25" s="15">
        <f>_xll.oxlComputeYearFraction(A25,B25,$A$2)</f>
        <v>0.5083333333333333</v>
      </c>
      <c r="F25" s="15">
        <f t="shared" si="0"/>
        <v>0</v>
      </c>
      <c r="G25" s="5">
        <v>39872</v>
      </c>
      <c r="H25" s="6">
        <v>40056</v>
      </c>
      <c r="I25" s="7">
        <f>_xll.oxlComputeDayCount(G25,H25,G$2)</f>
        <v>182</v>
      </c>
    </row>
    <row r="27" spans="1:9" x14ac:dyDescent="0.25">
      <c r="A27" s="12" t="s">
        <v>20</v>
      </c>
      <c r="B27" s="13"/>
      <c r="C27" s="14"/>
      <c r="G27" s="12" t="s">
        <v>23</v>
      </c>
      <c r="H27" s="13"/>
      <c r="I27" s="14"/>
    </row>
    <row r="28" spans="1:9" x14ac:dyDescent="0.25">
      <c r="A28" s="8" t="s">
        <v>17</v>
      </c>
      <c r="B28" s="8" t="s">
        <v>18</v>
      </c>
      <c r="C28" s="8" t="s">
        <v>19</v>
      </c>
      <c r="G28" s="8" t="s">
        <v>17</v>
      </c>
      <c r="H28" s="8" t="s">
        <v>18</v>
      </c>
      <c r="I28" s="8" t="s">
        <v>19</v>
      </c>
    </row>
    <row r="29" spans="1:9" x14ac:dyDescent="0.25">
      <c r="A29" s="4">
        <v>39097</v>
      </c>
      <c r="B29" s="1">
        <v>39112</v>
      </c>
      <c r="C29" s="3">
        <f>_xll.oxlComputeDayCount(A29,B29,A$27)</f>
        <v>15</v>
      </c>
      <c r="G29" s="9">
        <v>39097</v>
      </c>
      <c r="H29" s="10">
        <v>39112</v>
      </c>
      <c r="I29" s="11">
        <f>_xll.oxlComputeDayCount(G29,H29,G$27)</f>
        <v>15</v>
      </c>
    </row>
    <row r="30" spans="1:9" x14ac:dyDescent="0.25">
      <c r="A30" s="4">
        <v>39097</v>
      </c>
      <c r="B30" s="1">
        <v>39128</v>
      </c>
      <c r="C30" s="3">
        <f>_xll.oxlComputeDayCount(A30,B30,A$27)</f>
        <v>31</v>
      </c>
      <c r="G30" s="4">
        <v>39097</v>
      </c>
      <c r="H30" s="1">
        <v>39128</v>
      </c>
      <c r="I30" s="3">
        <f>_xll.oxlComputeDayCount(G30,H30,G$27)</f>
        <v>30</v>
      </c>
    </row>
    <row r="31" spans="1:9" x14ac:dyDescent="0.25">
      <c r="A31" s="4">
        <v>39097</v>
      </c>
      <c r="B31" s="1">
        <v>39278</v>
      </c>
      <c r="C31" s="3">
        <f>_xll.oxlComputeDayCount(A31,B31,A$27)</f>
        <v>181</v>
      </c>
      <c r="G31" s="4">
        <v>39097</v>
      </c>
      <c r="H31" s="1">
        <v>39278</v>
      </c>
      <c r="I31" s="3">
        <f>_xll.oxlComputeDayCount(G31,H31,G$27)</f>
        <v>180</v>
      </c>
    </row>
    <row r="32" spans="1:9" x14ac:dyDescent="0.25">
      <c r="A32" s="4">
        <v>39355</v>
      </c>
      <c r="B32" s="1">
        <v>39538</v>
      </c>
      <c r="C32" s="3">
        <f>_xll.oxlComputeDayCount(A32,B32,A$27)</f>
        <v>183</v>
      </c>
      <c r="G32" s="4">
        <v>39355</v>
      </c>
      <c r="H32" s="1">
        <v>39538</v>
      </c>
      <c r="I32" s="3">
        <f>_xll.oxlComputeDayCount(G32,H32,G$27)</f>
        <v>180</v>
      </c>
    </row>
    <row r="33" spans="1:9" x14ac:dyDescent="0.25">
      <c r="A33" s="4">
        <v>39355</v>
      </c>
      <c r="B33" s="1">
        <v>39386</v>
      </c>
      <c r="C33" s="3">
        <f>_xll.oxlComputeDayCount(A33,B33,A$27)</f>
        <v>31</v>
      </c>
      <c r="G33" s="4">
        <v>39355</v>
      </c>
      <c r="H33" s="1">
        <v>39386</v>
      </c>
      <c r="I33" s="3">
        <f>_xll.oxlComputeDayCount(G33,H33,G$27)</f>
        <v>30</v>
      </c>
    </row>
    <row r="34" spans="1:9" x14ac:dyDescent="0.25">
      <c r="A34" s="4">
        <v>39355</v>
      </c>
      <c r="B34" s="1">
        <v>39721</v>
      </c>
      <c r="C34" s="3">
        <f>_xll.oxlComputeDayCount(A34,B34,A$27)</f>
        <v>366</v>
      </c>
      <c r="G34" s="4">
        <v>39355</v>
      </c>
      <c r="H34" s="1">
        <v>39721</v>
      </c>
      <c r="I34" s="3">
        <f>_xll.oxlComputeDayCount(G34,H34,G$27)</f>
        <v>360</v>
      </c>
    </row>
    <row r="35" spans="1:9" x14ac:dyDescent="0.25">
      <c r="A35" s="4">
        <v>39097</v>
      </c>
      <c r="B35" s="1">
        <v>39113</v>
      </c>
      <c r="C35" s="3">
        <f>_xll.oxlComputeDayCount(A35,B35,A$27)</f>
        <v>16</v>
      </c>
      <c r="G35" s="4">
        <v>39097</v>
      </c>
      <c r="H35" s="1">
        <v>39113</v>
      </c>
      <c r="I35" s="3">
        <f>_xll.oxlComputeDayCount(G35,H35,G$27)</f>
        <v>15</v>
      </c>
    </row>
    <row r="36" spans="1:9" x14ac:dyDescent="0.25">
      <c r="A36" s="4">
        <v>39113</v>
      </c>
      <c r="B36" s="1">
        <v>39141</v>
      </c>
      <c r="C36" s="3">
        <f>_xll.oxlComputeDayCount(A36,B36,A$27)</f>
        <v>28</v>
      </c>
      <c r="G36" s="4">
        <v>39113</v>
      </c>
      <c r="H36" s="1">
        <v>39141</v>
      </c>
      <c r="I36" s="3">
        <f>_xll.oxlComputeDayCount(G36,H36,G$27)</f>
        <v>30</v>
      </c>
    </row>
    <row r="37" spans="1:9" x14ac:dyDescent="0.25">
      <c r="A37" s="4">
        <v>39141</v>
      </c>
      <c r="B37" s="1">
        <v>39172</v>
      </c>
      <c r="C37" s="3">
        <f>_xll.oxlComputeDayCount(A37,B37,A$27)</f>
        <v>31</v>
      </c>
      <c r="G37" s="4">
        <v>39141</v>
      </c>
      <c r="H37" s="1">
        <v>39172</v>
      </c>
      <c r="I37" s="3">
        <f>_xll.oxlComputeDayCount(G37,H37,G$27)</f>
        <v>30</v>
      </c>
    </row>
    <row r="38" spans="1:9" x14ac:dyDescent="0.25">
      <c r="A38" s="4">
        <v>38960</v>
      </c>
      <c r="B38" s="1">
        <v>39141</v>
      </c>
      <c r="C38" s="3">
        <f>_xll.oxlComputeDayCount(A38,B38,A$27)</f>
        <v>181</v>
      </c>
      <c r="G38" s="4">
        <v>38960</v>
      </c>
      <c r="H38" s="1">
        <v>39141</v>
      </c>
      <c r="I38" s="3">
        <f>_xll.oxlComputeDayCount(G38,H38,G$27)</f>
        <v>180</v>
      </c>
    </row>
    <row r="39" spans="1:9" x14ac:dyDescent="0.25">
      <c r="A39" s="4">
        <v>39141</v>
      </c>
      <c r="B39" s="1">
        <v>39325</v>
      </c>
      <c r="C39" s="3">
        <f>_xll.oxlComputeDayCount(A39,B39,A$27)</f>
        <v>184</v>
      </c>
      <c r="G39" s="4">
        <v>39141</v>
      </c>
      <c r="H39" s="1">
        <v>39325</v>
      </c>
      <c r="I39" s="3">
        <f>_xll.oxlComputeDayCount(G39,H39,G$27)</f>
        <v>180</v>
      </c>
    </row>
    <row r="40" spans="1:9" x14ac:dyDescent="0.25">
      <c r="A40" s="4">
        <v>39127</v>
      </c>
      <c r="B40" s="1">
        <v>39141</v>
      </c>
      <c r="C40" s="3">
        <f>_xll.oxlComputeDayCount(A40,B40,A$27)</f>
        <v>14</v>
      </c>
      <c r="G40" s="4">
        <v>39127</v>
      </c>
      <c r="H40" s="1">
        <v>39141</v>
      </c>
      <c r="I40" s="3">
        <f>_xll.oxlComputeDayCount(G40,H40,G$27)</f>
        <v>16</v>
      </c>
    </row>
    <row r="41" spans="1:9" x14ac:dyDescent="0.25">
      <c r="A41" s="4">
        <v>39139</v>
      </c>
      <c r="B41" s="1">
        <v>39507</v>
      </c>
      <c r="C41" s="3">
        <f>_xll.oxlComputeDayCount(A41,B41,A$27)</f>
        <v>368</v>
      </c>
      <c r="G41" s="4">
        <v>39139</v>
      </c>
      <c r="H41" s="1">
        <v>39507</v>
      </c>
      <c r="I41" s="3">
        <f>_xll.oxlComputeDayCount(G41,H41,G$27)</f>
        <v>364</v>
      </c>
    </row>
    <row r="42" spans="1:9" x14ac:dyDescent="0.25">
      <c r="A42" s="4">
        <v>39507</v>
      </c>
      <c r="B42" s="1">
        <v>39872</v>
      </c>
      <c r="C42" s="3">
        <f>_xll.oxlComputeDayCount(A42,B42,A$27)</f>
        <v>365</v>
      </c>
      <c r="G42" s="4">
        <v>39507</v>
      </c>
      <c r="H42" s="1">
        <v>39872</v>
      </c>
      <c r="I42" s="3">
        <f>_xll.oxlComputeDayCount(G42,H42,G$27)</f>
        <v>360</v>
      </c>
    </row>
    <row r="43" spans="1:9" x14ac:dyDescent="0.25">
      <c r="A43" s="4">
        <v>39507</v>
      </c>
      <c r="B43" s="1">
        <v>39537</v>
      </c>
      <c r="C43" s="3">
        <f>_xll.oxlComputeDayCount(A43,B43,A$27)</f>
        <v>30</v>
      </c>
      <c r="G43" s="4">
        <v>39507</v>
      </c>
      <c r="H43" s="1">
        <v>39537</v>
      </c>
      <c r="I43" s="3">
        <f>_xll.oxlComputeDayCount(G43,H43,G$27)</f>
        <v>30</v>
      </c>
    </row>
    <row r="44" spans="1:9" x14ac:dyDescent="0.25">
      <c r="A44" s="4">
        <v>39507</v>
      </c>
      <c r="B44" s="1">
        <v>39538</v>
      </c>
      <c r="C44" s="3">
        <f>_xll.oxlComputeDayCount(A44,B44,A$27)</f>
        <v>31</v>
      </c>
      <c r="G44" s="4">
        <v>39507</v>
      </c>
      <c r="H44" s="1">
        <v>39538</v>
      </c>
      <c r="I44" s="3">
        <f>_xll.oxlComputeDayCount(G44,H44,G$27)</f>
        <v>30</v>
      </c>
    </row>
    <row r="45" spans="1:9" x14ac:dyDescent="0.25">
      <c r="A45" s="4">
        <v>39141</v>
      </c>
      <c r="B45" s="1">
        <v>39146</v>
      </c>
      <c r="C45" s="3">
        <f>_xll.oxlComputeDayCount(A45,B45,A$27)</f>
        <v>5</v>
      </c>
      <c r="G45" s="4">
        <v>39141</v>
      </c>
      <c r="H45" s="1">
        <v>39146</v>
      </c>
      <c r="I45" s="3">
        <f>_xll.oxlComputeDayCount(G45,H45,G$27)</f>
        <v>5</v>
      </c>
    </row>
    <row r="46" spans="1:9" x14ac:dyDescent="0.25">
      <c r="A46" s="4">
        <v>39386</v>
      </c>
      <c r="B46" s="1">
        <v>39414</v>
      </c>
      <c r="C46" s="3">
        <f>_xll.oxlComputeDayCount(A46,B46,A$27)</f>
        <v>28</v>
      </c>
      <c r="G46" s="4">
        <v>39386</v>
      </c>
      <c r="H46" s="1">
        <v>39414</v>
      </c>
      <c r="I46" s="3">
        <f>_xll.oxlComputeDayCount(G46,H46,G$27)</f>
        <v>28</v>
      </c>
    </row>
    <row r="47" spans="1:9" x14ac:dyDescent="0.25">
      <c r="A47" s="4">
        <v>39325</v>
      </c>
      <c r="B47" s="1">
        <v>39507</v>
      </c>
      <c r="C47" s="3">
        <f>_xll.oxlComputeDayCount(A47,B47,A$27)</f>
        <v>182</v>
      </c>
      <c r="G47" s="4">
        <v>39325</v>
      </c>
      <c r="H47" s="1">
        <v>39507</v>
      </c>
      <c r="I47" s="3">
        <f>_xll.oxlComputeDayCount(G47,H47,G$27)</f>
        <v>180</v>
      </c>
    </row>
    <row r="48" spans="1:9" x14ac:dyDescent="0.25">
      <c r="A48" s="4">
        <v>39507</v>
      </c>
      <c r="B48" s="1">
        <v>39691</v>
      </c>
      <c r="C48" s="3">
        <f>_xll.oxlComputeDayCount(A48,B48,A$27)</f>
        <v>184</v>
      </c>
      <c r="G48" s="4">
        <v>39507</v>
      </c>
      <c r="H48" s="1">
        <v>39691</v>
      </c>
      <c r="I48" s="3">
        <f>_xll.oxlComputeDayCount(G48,H48,G$27)</f>
        <v>180</v>
      </c>
    </row>
    <row r="49" spans="1:9" x14ac:dyDescent="0.25">
      <c r="A49" s="4">
        <v>39691</v>
      </c>
      <c r="B49" s="1">
        <v>39872</v>
      </c>
      <c r="C49" s="3">
        <f>_xll.oxlComputeDayCount(A49,B49,A$27)</f>
        <v>181</v>
      </c>
      <c r="G49" s="4">
        <v>39691</v>
      </c>
      <c r="H49" s="1">
        <v>39872</v>
      </c>
      <c r="I49" s="3">
        <f>_xll.oxlComputeDayCount(G49,H49,G$27)</f>
        <v>180</v>
      </c>
    </row>
    <row r="50" spans="1:9" x14ac:dyDescent="0.25">
      <c r="A50" s="5">
        <v>39872</v>
      </c>
      <c r="B50" s="6">
        <v>40056</v>
      </c>
      <c r="C50" s="7">
        <f>_xll.oxlComputeDayCount(A50,B50,A$27)</f>
        <v>184</v>
      </c>
      <c r="G50" s="5">
        <v>39872</v>
      </c>
      <c r="H50" s="6">
        <v>40056</v>
      </c>
      <c r="I50" s="7">
        <f>_xll.oxlComputeDayCount(G50,H50,G$27)</f>
        <v>180</v>
      </c>
    </row>
    <row r="52" spans="1:9" x14ac:dyDescent="0.25">
      <c r="A52" t="s">
        <v>21</v>
      </c>
    </row>
    <row r="53" spans="1:9" x14ac:dyDescent="0.25">
      <c r="A53" t="s">
        <v>17</v>
      </c>
      <c r="B53" t="s">
        <v>18</v>
      </c>
      <c r="C53" t="s">
        <v>19</v>
      </c>
    </row>
    <row r="54" spans="1:9" x14ac:dyDescent="0.25">
      <c r="A54" s="1">
        <v>39097</v>
      </c>
      <c r="B54" s="1">
        <v>39112</v>
      </c>
      <c r="C54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45751-0031-44E3-951D-7C59C3883439}">
  <dimension ref="B2:K20"/>
  <sheetViews>
    <sheetView workbookViewId="0">
      <selection activeCell="K11" sqref="K11"/>
    </sheetView>
  </sheetViews>
  <sheetFormatPr defaultRowHeight="15" x14ac:dyDescent="0.25"/>
  <cols>
    <col min="2" max="2" width="16.5703125" bestFit="1" customWidth="1"/>
    <col min="3" max="3" width="30.5703125" bestFit="1" customWidth="1"/>
    <col min="4" max="5" width="10.7109375" bestFit="1" customWidth="1"/>
    <col min="6" max="7" width="9.5703125" bestFit="1" customWidth="1"/>
    <col min="11" max="11" width="10.7109375" bestFit="1" customWidth="1"/>
  </cols>
  <sheetData>
    <row r="2" spans="2:11" x14ac:dyDescent="0.25">
      <c r="C2" t="str">
        <f>_xll.oxlDictionary(B3:B6,C3:C6)</f>
        <v>Dictionary_ComputeDate_$1$2:0</v>
      </c>
      <c r="K2" t="str">
        <f>_xll.oxlDictionary(J3:J5,K3:K5)</f>
        <v>Dictionary_ComputeDate_$1$10:0</v>
      </c>
    </row>
    <row r="3" spans="2:11" x14ac:dyDescent="0.25">
      <c r="B3" t="s">
        <v>26</v>
      </c>
      <c r="C3" s="1">
        <v>45163</v>
      </c>
      <c r="E3" t="str">
        <f t="array" ref="E3:F6">_xll.oxlDisplay(C2)</f>
        <v>Adjustment_Rule</v>
      </c>
      <c r="F3" t="str">
        <v>Following</v>
      </c>
      <c r="J3" t="s">
        <v>26</v>
      </c>
      <c r="K3" s="1">
        <v>46336</v>
      </c>
    </row>
    <row r="4" spans="2:11" x14ac:dyDescent="0.25">
      <c r="B4" t="s">
        <v>27</v>
      </c>
      <c r="C4" t="s">
        <v>31</v>
      </c>
      <c r="E4" t="str">
        <v>Base_Date</v>
      </c>
      <c r="F4" s="1">
        <v>45163</v>
      </c>
      <c r="J4" t="s">
        <v>33</v>
      </c>
      <c r="K4">
        <v>5</v>
      </c>
    </row>
    <row r="5" spans="2:11" x14ac:dyDescent="0.25">
      <c r="B5" t="s">
        <v>28</v>
      </c>
      <c r="C5" t="s">
        <v>32</v>
      </c>
      <c r="E5" t="str">
        <v>Calendar</v>
      </c>
      <c r="F5" t="str">
        <v>NYB</v>
      </c>
      <c r="J5" t="s">
        <v>29</v>
      </c>
      <c r="K5" t="s">
        <v>0</v>
      </c>
    </row>
    <row r="6" spans="2:11" x14ac:dyDescent="0.25">
      <c r="B6" t="s">
        <v>29</v>
      </c>
      <c r="C6" t="s">
        <v>0</v>
      </c>
      <c r="E6" t="str">
        <v>Tenor</v>
      </c>
      <c r="F6" t="str">
        <v>8M</v>
      </c>
    </row>
    <row r="7" spans="2:11" x14ac:dyDescent="0.25">
      <c r="C7" s="2" t="s">
        <v>30</v>
      </c>
    </row>
    <row r="8" spans="2:11" x14ac:dyDescent="0.25">
      <c r="C8" s="1">
        <f>_xll.oxlComputeDate(B3:C6)</f>
        <v>45407</v>
      </c>
      <c r="K8" s="1">
        <f>_xll.oxlAddBusinessDays(K3,K4,K5)</f>
        <v>46344</v>
      </c>
    </row>
    <row r="9" spans="2:11" x14ac:dyDescent="0.25">
      <c r="C9" s="1">
        <f>_xll.oxlComputeDate(B3:B6,C3:C6)</f>
        <v>45407</v>
      </c>
      <c r="K9" s="1">
        <f>_xll.oxlAddBusinessDays(J3:J5,K3:K5)</f>
        <v>46344</v>
      </c>
    </row>
    <row r="10" spans="2:11" x14ac:dyDescent="0.25">
      <c r="C10" s="1">
        <f>_xll.oxlComputeDate(C2)</f>
        <v>45407</v>
      </c>
      <c r="K10" s="1">
        <f>_xll.oxlAddBusinessDays(K2)</f>
        <v>46344</v>
      </c>
    </row>
    <row r="11" spans="2:11" x14ac:dyDescent="0.25">
      <c r="C11" s="1">
        <f>_xll.oxlComputeDate(C3,C4,C5,C6)</f>
        <v>45407</v>
      </c>
    </row>
    <row r="12" spans="2:11" x14ac:dyDescent="0.25">
      <c r="K12" t="str">
        <f>_xll.oxlDictionary(J13:J15,K13:K15)</f>
        <v>Dictionary_ComputeDate_$11$10:0</v>
      </c>
    </row>
    <row r="13" spans="2:11" x14ac:dyDescent="0.25">
      <c r="J13" t="s">
        <v>26</v>
      </c>
      <c r="K13" s="1">
        <v>46344</v>
      </c>
    </row>
    <row r="14" spans="2:11" x14ac:dyDescent="0.25">
      <c r="J14" t="s">
        <v>33</v>
      </c>
      <c r="K14">
        <v>-5</v>
      </c>
    </row>
    <row r="15" spans="2:11" x14ac:dyDescent="0.25">
      <c r="J15" t="s">
        <v>29</v>
      </c>
      <c r="K15" t="s">
        <v>0</v>
      </c>
    </row>
    <row r="18" spans="11:11" x14ac:dyDescent="0.25">
      <c r="K18" s="1">
        <f>_xll.oxlAddBusinessDays(K13,K14,K15)</f>
        <v>46336</v>
      </c>
    </row>
    <row r="19" spans="11:11" x14ac:dyDescent="0.25">
      <c r="K19" s="1">
        <f>_xll.oxlAddBusinessDays(J13:J15,K13:K15)</f>
        <v>46336</v>
      </c>
    </row>
    <row r="20" spans="11:11" x14ac:dyDescent="0.25">
      <c r="K20" s="1">
        <f>_xll.oxlAddBusinessDays(K12)</f>
        <v>46336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557B0-F1EA-4C34-B59A-53CDA196B303}">
  <dimension ref="B2:V20"/>
  <sheetViews>
    <sheetView tabSelected="1" workbookViewId="0">
      <selection activeCell="R2" sqref="R2"/>
    </sheetView>
  </sheetViews>
  <sheetFormatPr defaultRowHeight="15" x14ac:dyDescent="0.25"/>
  <cols>
    <col min="3" max="3" width="9.85546875" bestFit="1" customWidth="1"/>
    <col min="5" max="5" width="26.5703125" bestFit="1" customWidth="1"/>
    <col min="7" max="12" width="9.85546875" bestFit="1" customWidth="1"/>
    <col min="13" max="13" width="12.42578125" bestFit="1" customWidth="1"/>
    <col min="14" max="14" width="9.28515625" bestFit="1" customWidth="1"/>
    <col min="15" max="15" width="12.42578125" bestFit="1" customWidth="1"/>
    <col min="16" max="17" width="9.28515625" bestFit="1" customWidth="1"/>
    <col min="18" max="18" width="11" bestFit="1" customWidth="1"/>
    <col min="19" max="20" width="9.28515625" bestFit="1" customWidth="1"/>
  </cols>
  <sheetData>
    <row r="2" spans="2:22" x14ac:dyDescent="0.25">
      <c r="B2" t="s">
        <v>34</v>
      </c>
      <c r="C2" s="1">
        <v>45660</v>
      </c>
      <c r="E2" t="str">
        <f>_xll.oxlDictionary(B2:B9,C2:C9)</f>
        <v>Dictionary_CashFlow_$1$4:11</v>
      </c>
      <c r="G2" s="1">
        <f t="array" ref="G2:T20">_xll.oxlGenerateCashFlows(E2)</f>
        <v>45598</v>
      </c>
      <c r="H2" s="1">
        <v>45779</v>
      </c>
      <c r="I2" s="1">
        <v>45598</v>
      </c>
      <c r="J2" s="1">
        <v>45779</v>
      </c>
      <c r="K2" s="1">
        <v>45598</v>
      </c>
      <c r="L2" s="1">
        <v>45779</v>
      </c>
      <c r="M2" s="16">
        <v>1000000</v>
      </c>
      <c r="N2">
        <v>0.05</v>
      </c>
      <c r="O2" s="16">
        <v>24772.063777228836</v>
      </c>
      <c r="P2">
        <v>0</v>
      </c>
      <c r="Q2">
        <v>181</v>
      </c>
      <c r="R2">
        <v>0.49544127554457673</v>
      </c>
      <c r="S2" t="str">
        <v>USD</v>
      </c>
      <c r="T2" t="str">
        <v>Fixed</v>
      </c>
      <c r="U2">
        <f>_xll.oxlComputeYearFraction(G2,H2,"ACT:ACT")</f>
        <v>0.49544127554457673</v>
      </c>
      <c r="V2">
        <f>U2-R2</f>
        <v>0</v>
      </c>
    </row>
    <row r="3" spans="2:22" x14ac:dyDescent="0.25">
      <c r="B3" t="s">
        <v>35</v>
      </c>
      <c r="C3" s="1">
        <v>47605</v>
      </c>
      <c r="G3" s="1">
        <v>45779</v>
      </c>
      <c r="H3" s="1">
        <v>45963</v>
      </c>
      <c r="I3" s="1">
        <v>45779</v>
      </c>
      <c r="J3" s="1">
        <v>45963</v>
      </c>
      <c r="K3" s="1">
        <v>45779</v>
      </c>
      <c r="L3" s="1">
        <v>45963</v>
      </c>
      <c r="M3" s="16">
        <v>1000000</v>
      </c>
      <c r="N3">
        <v>0.05</v>
      </c>
      <c r="O3" s="16">
        <v>25205.479452054798</v>
      </c>
      <c r="P3">
        <v>0</v>
      </c>
      <c r="Q3">
        <v>184</v>
      </c>
      <c r="R3">
        <v>0.50410958904109593</v>
      </c>
      <c r="S3" t="str">
        <v>USD</v>
      </c>
      <c r="T3" t="str">
        <v>Fixed</v>
      </c>
      <c r="U3">
        <f>_xll.oxlComputeYearFraction(G3,H3,"ACT:ACT")</f>
        <v>0.50410958904109593</v>
      </c>
      <c r="V3">
        <f t="shared" ref="V3:V13" si="0">U3-R3</f>
        <v>0</v>
      </c>
    </row>
    <row r="4" spans="2:22" x14ac:dyDescent="0.25">
      <c r="B4" t="s">
        <v>44</v>
      </c>
      <c r="C4">
        <v>1000000</v>
      </c>
      <c r="G4" s="1">
        <v>45963</v>
      </c>
      <c r="H4" s="1">
        <v>46144</v>
      </c>
      <c r="I4" s="1">
        <v>45963</v>
      </c>
      <c r="J4" s="1">
        <v>46144</v>
      </c>
      <c r="K4" s="1">
        <v>45963</v>
      </c>
      <c r="L4" s="1">
        <v>46144</v>
      </c>
      <c r="M4" s="16">
        <v>1000000</v>
      </c>
      <c r="N4">
        <v>0.05</v>
      </c>
      <c r="O4" s="16">
        <v>24794.520547945209</v>
      </c>
      <c r="P4">
        <v>0</v>
      </c>
      <c r="Q4">
        <v>181</v>
      </c>
      <c r="R4">
        <v>0.49589041095890413</v>
      </c>
      <c r="S4" t="str">
        <v>USD</v>
      </c>
      <c r="T4" t="str">
        <v>Fixed</v>
      </c>
      <c r="U4">
        <f>_xll.oxlComputeYearFraction(G4,H4,"ACT:ACT")</f>
        <v>0.49589041095890413</v>
      </c>
      <c r="V4">
        <f t="shared" si="0"/>
        <v>0</v>
      </c>
    </row>
    <row r="5" spans="2:22" x14ac:dyDescent="0.25">
      <c r="B5" t="s">
        <v>36</v>
      </c>
      <c r="C5">
        <v>0.05</v>
      </c>
      <c r="G5" s="1">
        <v>46144</v>
      </c>
      <c r="H5" s="1">
        <v>46328</v>
      </c>
      <c r="I5" s="1">
        <v>46144</v>
      </c>
      <c r="J5" s="1">
        <v>46328</v>
      </c>
      <c r="K5" s="1">
        <v>46144</v>
      </c>
      <c r="L5" s="1">
        <v>46328</v>
      </c>
      <c r="M5" s="16">
        <v>1000000</v>
      </c>
      <c r="N5">
        <v>0.05</v>
      </c>
      <c r="O5" s="16">
        <v>25205.479452054798</v>
      </c>
      <c r="P5">
        <v>0</v>
      </c>
      <c r="Q5">
        <v>184</v>
      </c>
      <c r="R5">
        <v>0.50410958904109593</v>
      </c>
      <c r="S5" t="str">
        <v>USD</v>
      </c>
      <c r="T5" t="str">
        <v>Fixed</v>
      </c>
      <c r="U5">
        <f>_xll.oxlComputeYearFraction(G5,H5,"ACT:ACT")</f>
        <v>0.50410958904109593</v>
      </c>
      <c r="V5">
        <f t="shared" si="0"/>
        <v>0</v>
      </c>
    </row>
    <row r="6" spans="2:22" x14ac:dyDescent="0.25">
      <c r="B6" t="s">
        <v>37</v>
      </c>
      <c r="C6" t="s">
        <v>41</v>
      </c>
      <c r="G6" s="1">
        <v>46328</v>
      </c>
      <c r="H6" s="1">
        <v>46509</v>
      </c>
      <c r="I6" s="1">
        <v>46328</v>
      </c>
      <c r="J6" s="1">
        <v>46509</v>
      </c>
      <c r="K6" s="1">
        <v>46328</v>
      </c>
      <c r="L6" s="1">
        <v>46509</v>
      </c>
      <c r="M6" s="16">
        <v>1000000</v>
      </c>
      <c r="N6">
        <v>0.05</v>
      </c>
      <c r="O6" s="16">
        <v>24794.520547945209</v>
      </c>
      <c r="P6">
        <v>0</v>
      </c>
      <c r="Q6">
        <v>181</v>
      </c>
      <c r="R6">
        <v>0.49589041095890413</v>
      </c>
      <c r="S6" t="str">
        <v>USD</v>
      </c>
      <c r="T6" t="str">
        <v>Fixed</v>
      </c>
      <c r="U6">
        <f>_xll.oxlComputeYearFraction(G6,H6,"ACT:ACT")</f>
        <v>0.49589041095890413</v>
      </c>
      <c r="V6">
        <f t="shared" si="0"/>
        <v>0</v>
      </c>
    </row>
    <row r="7" spans="2:22" x14ac:dyDescent="0.25">
      <c r="B7" t="s">
        <v>38</v>
      </c>
      <c r="C7" t="s">
        <v>42</v>
      </c>
      <c r="G7" s="1">
        <v>46509</v>
      </c>
      <c r="H7" s="1">
        <v>46693</v>
      </c>
      <c r="I7" s="1">
        <v>46509</v>
      </c>
      <c r="J7" s="1">
        <v>46693</v>
      </c>
      <c r="K7" s="1">
        <v>46509</v>
      </c>
      <c r="L7" s="1">
        <v>46693</v>
      </c>
      <c r="M7" s="16">
        <v>1000000</v>
      </c>
      <c r="N7">
        <v>0.05</v>
      </c>
      <c r="O7" s="16">
        <v>25205.479452054798</v>
      </c>
      <c r="P7">
        <v>0</v>
      </c>
      <c r="Q7">
        <v>184</v>
      </c>
      <c r="R7">
        <v>0.50410958904109593</v>
      </c>
      <c r="S7" t="str">
        <v>USD</v>
      </c>
      <c r="T7" t="str">
        <v>Fixed</v>
      </c>
      <c r="U7">
        <f>_xll.oxlComputeYearFraction(G7,H7,"ACT:ACT")</f>
        <v>0.50410958904109593</v>
      </c>
      <c r="V7">
        <f t="shared" si="0"/>
        <v>0</v>
      </c>
    </row>
    <row r="8" spans="2:22" x14ac:dyDescent="0.25">
      <c r="B8" t="s">
        <v>39</v>
      </c>
      <c r="C8" t="s">
        <v>43</v>
      </c>
      <c r="G8" s="1">
        <v>46693</v>
      </c>
      <c r="H8" s="1">
        <v>46875</v>
      </c>
      <c r="I8" s="1">
        <v>46693</v>
      </c>
      <c r="J8" s="1">
        <v>46875</v>
      </c>
      <c r="K8" s="1">
        <v>46693</v>
      </c>
      <c r="L8" s="1">
        <v>46875</v>
      </c>
      <c r="M8" s="16">
        <v>1000000</v>
      </c>
      <c r="N8">
        <v>0.05</v>
      </c>
      <c r="O8" s="16">
        <v>24885.84474885845</v>
      </c>
      <c r="P8">
        <v>0</v>
      </c>
      <c r="Q8">
        <v>182</v>
      </c>
      <c r="R8">
        <v>0.49771689497716892</v>
      </c>
      <c r="S8" t="str">
        <v>USD</v>
      </c>
      <c r="T8" t="str">
        <v>Fixed</v>
      </c>
      <c r="U8">
        <f>_xll.oxlComputeYearFraction(G8,H8,"ACT:ACT")</f>
        <v>0.49771689497716892</v>
      </c>
      <c r="V8">
        <f t="shared" si="0"/>
        <v>0</v>
      </c>
    </row>
    <row r="9" spans="2:22" x14ac:dyDescent="0.25">
      <c r="B9" t="s">
        <v>40</v>
      </c>
      <c r="C9" t="s">
        <v>45</v>
      </c>
      <c r="G9" s="1">
        <v>46875</v>
      </c>
      <c r="H9" s="1">
        <v>47059</v>
      </c>
      <c r="I9" s="1">
        <v>46875</v>
      </c>
      <c r="J9" s="1">
        <v>47059</v>
      </c>
      <c r="K9" s="1">
        <v>46875</v>
      </c>
      <c r="L9" s="1">
        <v>47059</v>
      </c>
      <c r="M9" s="16">
        <v>1000000</v>
      </c>
      <c r="N9">
        <v>0.05</v>
      </c>
      <c r="O9" s="16">
        <v>25136.612021857924</v>
      </c>
      <c r="P9">
        <v>0</v>
      </c>
      <c r="Q9">
        <v>184</v>
      </c>
      <c r="R9">
        <v>0.50273224043715847</v>
      </c>
      <c r="S9" t="str">
        <v>USD</v>
      </c>
      <c r="T9" t="str">
        <v>Fixed</v>
      </c>
      <c r="U9">
        <f>_xll.oxlComputeYearFraction(G9,H9,"ACT:ACT")</f>
        <v>0.50273224043715847</v>
      </c>
      <c r="V9">
        <f t="shared" si="0"/>
        <v>0</v>
      </c>
    </row>
    <row r="10" spans="2:22" x14ac:dyDescent="0.25">
      <c r="G10" s="1">
        <v>47059</v>
      </c>
      <c r="H10" s="1">
        <v>47240</v>
      </c>
      <c r="I10" s="1">
        <v>47059</v>
      </c>
      <c r="J10" s="1">
        <v>47240</v>
      </c>
      <c r="K10" s="1">
        <v>47059</v>
      </c>
      <c r="L10" s="1">
        <v>47240</v>
      </c>
      <c r="M10" s="16">
        <v>1000000</v>
      </c>
      <c r="N10">
        <v>0.05</v>
      </c>
      <c r="O10" s="16">
        <v>24772.063777228836</v>
      </c>
      <c r="P10">
        <v>0</v>
      </c>
      <c r="Q10">
        <v>181</v>
      </c>
      <c r="R10">
        <v>0.49544127554457673</v>
      </c>
      <c r="S10" t="str">
        <v>USD</v>
      </c>
      <c r="T10" t="str">
        <v>Fixed</v>
      </c>
      <c r="U10">
        <f>_xll.oxlComputeYearFraction(G10,H10,"ACT:ACT")</f>
        <v>0.49544127554457673</v>
      </c>
      <c r="V10">
        <f t="shared" si="0"/>
        <v>0</v>
      </c>
    </row>
    <row r="11" spans="2:22" x14ac:dyDescent="0.25">
      <c r="G11" s="1">
        <v>47240</v>
      </c>
      <c r="H11" s="1">
        <v>47424</v>
      </c>
      <c r="I11" s="1">
        <v>47240</v>
      </c>
      <c r="J11" s="1">
        <v>47424</v>
      </c>
      <c r="K11" s="1">
        <v>47240</v>
      </c>
      <c r="L11" s="1">
        <v>47424</v>
      </c>
      <c r="M11" s="16">
        <v>1000000</v>
      </c>
      <c r="N11">
        <v>0.05</v>
      </c>
      <c r="O11" s="16">
        <v>25205.479452054798</v>
      </c>
      <c r="P11">
        <v>0</v>
      </c>
      <c r="Q11">
        <v>184</v>
      </c>
      <c r="R11">
        <v>0.50410958904109593</v>
      </c>
      <c r="S11" t="str">
        <v>USD</v>
      </c>
      <c r="T11" t="str">
        <v>Fixed</v>
      </c>
      <c r="U11">
        <f>_xll.oxlComputeYearFraction(G11,H11,"ACT:ACT")</f>
        <v>0.50410958904109593</v>
      </c>
      <c r="V11">
        <f t="shared" si="0"/>
        <v>0</v>
      </c>
    </row>
    <row r="12" spans="2:22" x14ac:dyDescent="0.25">
      <c r="G12" s="1">
        <v>47424</v>
      </c>
      <c r="H12" s="1">
        <v>47605</v>
      </c>
      <c r="I12" s="1">
        <v>47424</v>
      </c>
      <c r="J12" s="1">
        <v>47605</v>
      </c>
      <c r="K12" s="1">
        <v>47424</v>
      </c>
      <c r="L12" s="1">
        <v>47605</v>
      </c>
      <c r="M12" s="16">
        <v>1000000</v>
      </c>
      <c r="N12">
        <v>0.05</v>
      </c>
      <c r="O12" s="16">
        <v>24794.520547945209</v>
      </c>
      <c r="P12">
        <v>0</v>
      </c>
      <c r="Q12">
        <v>181</v>
      </c>
      <c r="R12">
        <v>0.49589041095890413</v>
      </c>
      <c r="S12" t="str">
        <v>USD</v>
      </c>
      <c r="T12" t="str">
        <v>Fixed</v>
      </c>
      <c r="U12">
        <f>_xll.oxlComputeYearFraction(G12,H12,"ACT:ACT")</f>
        <v>0.49589041095890413</v>
      </c>
      <c r="V12">
        <f t="shared" si="0"/>
        <v>0</v>
      </c>
    </row>
    <row r="13" spans="2:22" x14ac:dyDescent="0.25">
      <c r="G13" s="1">
        <v>47424</v>
      </c>
      <c r="H13" s="1">
        <v>47605</v>
      </c>
      <c r="I13" s="1">
        <v>47424</v>
      </c>
      <c r="J13" s="1">
        <v>47605</v>
      </c>
      <c r="K13" s="1">
        <v>47424</v>
      </c>
      <c r="L13" s="1">
        <v>47605</v>
      </c>
      <c r="M13" s="16">
        <v>1000000</v>
      </c>
      <c r="N13">
        <v>1</v>
      </c>
      <c r="O13" s="16">
        <v>1000000</v>
      </c>
      <c r="P13">
        <v>0</v>
      </c>
      <c r="Q13">
        <v>181</v>
      </c>
      <c r="R13">
        <v>0.49589041095890413</v>
      </c>
      <c r="S13" t="str">
        <v>USD</v>
      </c>
      <c r="T13" t="str">
        <v>Principal</v>
      </c>
      <c r="U13">
        <f>_xll.oxlComputeYearFraction(G13,H13,"ACT:ACT")</f>
        <v>0.49589041095890413</v>
      </c>
      <c r="V13">
        <f t="shared" si="0"/>
        <v>0</v>
      </c>
    </row>
    <row r="14" spans="2:22" x14ac:dyDescent="0.25">
      <c r="G14" s="1" t="e">
        <v>#N/A</v>
      </c>
      <c r="H14" s="1" t="e">
        <v>#N/A</v>
      </c>
      <c r="I14" s="1" t="e">
        <v>#N/A</v>
      </c>
      <c r="J14" s="1" t="e">
        <v>#N/A</v>
      </c>
      <c r="K14" s="1" t="e">
        <v>#N/A</v>
      </c>
      <c r="L14" s="1" t="e">
        <v>#N/A</v>
      </c>
      <c r="M14" s="16" t="e">
        <v>#N/A</v>
      </c>
      <c r="N14" t="e">
        <v>#N/A</v>
      </c>
      <c r="O14" s="16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</row>
    <row r="15" spans="2:22" x14ac:dyDescent="0.25">
      <c r="G15" s="1" t="e">
        <v>#N/A</v>
      </c>
      <c r="H15" s="1" t="e">
        <v>#N/A</v>
      </c>
      <c r="I15" s="1" t="e">
        <v>#N/A</v>
      </c>
      <c r="J15" s="1" t="e">
        <v>#N/A</v>
      </c>
      <c r="K15" s="1" t="e">
        <v>#N/A</v>
      </c>
      <c r="L15" s="1" t="e">
        <v>#N/A</v>
      </c>
      <c r="M15" s="16" t="e">
        <v>#N/A</v>
      </c>
      <c r="N15" t="e">
        <v>#N/A</v>
      </c>
      <c r="O15" s="16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</row>
    <row r="16" spans="2:22" x14ac:dyDescent="0.25">
      <c r="G16" s="1" t="e">
        <v>#N/A</v>
      </c>
      <c r="H16" s="1" t="e">
        <v>#N/A</v>
      </c>
      <c r="I16" s="1" t="e">
        <v>#N/A</v>
      </c>
      <c r="J16" s="1" t="e">
        <v>#N/A</v>
      </c>
      <c r="K16" s="1" t="e">
        <v>#N/A</v>
      </c>
      <c r="L16" s="1" t="e">
        <v>#N/A</v>
      </c>
      <c r="M16" s="16" t="e">
        <v>#N/A</v>
      </c>
      <c r="N16" t="e">
        <v>#N/A</v>
      </c>
      <c r="O16" s="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</row>
    <row r="17" spans="7:20" x14ac:dyDescent="0.25">
      <c r="G17" s="1" t="e">
        <v>#N/A</v>
      </c>
      <c r="H17" s="1" t="e">
        <v>#N/A</v>
      </c>
      <c r="I17" s="1" t="e">
        <v>#N/A</v>
      </c>
      <c r="J17" s="1" t="e">
        <v>#N/A</v>
      </c>
      <c r="K17" s="1" t="e">
        <v>#N/A</v>
      </c>
      <c r="L17" s="1" t="e">
        <v>#N/A</v>
      </c>
      <c r="M17" s="16" t="e">
        <v>#N/A</v>
      </c>
      <c r="N17" t="e">
        <v>#N/A</v>
      </c>
      <c r="O17" s="16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</row>
    <row r="18" spans="7:20" x14ac:dyDescent="0.25">
      <c r="G18" s="1" t="e">
        <v>#N/A</v>
      </c>
      <c r="H18" s="1" t="e">
        <v>#N/A</v>
      </c>
      <c r="I18" s="1" t="e">
        <v>#N/A</v>
      </c>
      <c r="J18" s="1" t="e">
        <v>#N/A</v>
      </c>
      <c r="K18" s="1" t="e">
        <v>#N/A</v>
      </c>
      <c r="L18" s="1" t="e">
        <v>#N/A</v>
      </c>
      <c r="M18" s="16" t="e">
        <v>#N/A</v>
      </c>
      <c r="N18" t="e">
        <v>#N/A</v>
      </c>
      <c r="O18" s="16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</row>
    <row r="19" spans="7:20" x14ac:dyDescent="0.25">
      <c r="G19" s="1" t="e">
        <v>#N/A</v>
      </c>
      <c r="H19" s="1" t="e">
        <v>#N/A</v>
      </c>
      <c r="I19" s="1" t="e">
        <v>#N/A</v>
      </c>
      <c r="J19" s="1" t="e">
        <v>#N/A</v>
      </c>
      <c r="K19" s="1" t="e">
        <v>#N/A</v>
      </c>
      <c r="L19" s="1" t="e">
        <v>#N/A</v>
      </c>
      <c r="M19" s="16" t="e">
        <v>#N/A</v>
      </c>
      <c r="N19" t="e">
        <v>#N/A</v>
      </c>
      <c r="O19" s="16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</row>
    <row r="20" spans="7:20" x14ac:dyDescent="0.25">
      <c r="G20" s="1" t="e">
        <v>#N/A</v>
      </c>
      <c r="H20" s="1" t="e">
        <v>#N/A</v>
      </c>
      <c r="I20" s="1" t="e">
        <v>#N/A</v>
      </c>
      <c r="J20" s="1" t="e">
        <v>#N/A</v>
      </c>
      <c r="K20" s="1" t="e">
        <v>#N/A</v>
      </c>
      <c r="L20" s="1" t="e">
        <v>#N/A</v>
      </c>
      <c r="M20" s="16" t="e">
        <v>#N/A</v>
      </c>
      <c r="N20" t="e">
        <v>#N/A</v>
      </c>
      <c r="O20" s="16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boolean_logic_dates</vt:lpstr>
      <vt:lpstr>day_count</vt:lpstr>
      <vt:lpstr>ComputeDate</vt:lpstr>
      <vt:lpstr>CashFlow</vt:lpstr>
      <vt:lpstr>dayCountResult</vt:lpstr>
      <vt:lpstr>vbaDayCount</vt:lpstr>
      <vt:lpstr>vbaEndDate</vt:lpstr>
      <vt:lpstr>vbaStartDate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Jang</dc:creator>
  <cp:lastModifiedBy>Michael Jang</cp:lastModifiedBy>
  <dcterms:created xsi:type="dcterms:W3CDTF">2023-05-11T21:18:44Z</dcterms:created>
  <dcterms:modified xsi:type="dcterms:W3CDTF">2026-02-25T23:30:36Z</dcterms:modified>
</cp:coreProperties>
</file>