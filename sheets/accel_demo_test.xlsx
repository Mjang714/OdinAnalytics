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rek\START\prog_proj\OdinAnalytics\sheets\"/>
    </mc:Choice>
  </mc:AlternateContent>
  <xr:revisionPtr revIDLastSave="0" documentId="13_ncr:1_{80DE43C6-1B80-4F32-8C47-2D47AAD318AC}" xr6:coauthVersionLast="47" xr6:coauthVersionMax="47" xr10:uidLastSave="{00000000-0000-0000-0000-000000000000}"/>
  <bookViews>
    <workbookView xWindow="-120" yWindow="-120" windowWidth="29040" windowHeight="16440" xr2:uid="{6C8DCB84-0F4E-4E1C-A404-EAB7C7E4B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 a="1"/>
  <c r="E42" i="1" s="1"/>
  <c r="E35" i="1" a="1"/>
  <c r="E35" i="1" s="1"/>
  <c r="M29" i="1" a="1"/>
  <c r="M29" i="1" s="1"/>
  <c r="E45" i="1" a="1"/>
  <c r="E45" i="1" s="1"/>
  <c r="E28" i="1" a="1"/>
  <c r="E28" i="1" s="1"/>
  <c r="B16" i="1" a="1"/>
  <c r="B16" i="1" s="1"/>
  <c r="M17" i="1" a="1"/>
  <c r="M17" i="1" s="1"/>
  <c r="M40" i="1" a="1"/>
  <c r="M40" i="1" s="1"/>
  <c r="N13" i="1" a="1"/>
  <c r="N13" i="1" s="1"/>
  <c r="N12" i="1" a="1"/>
  <c r="N12" i="1" s="1"/>
  <c r="M12" i="1" a="1"/>
  <c r="M12" i="1" s="1"/>
  <c r="N11" i="1" a="1"/>
  <c r="N11" i="1" s="1"/>
  <c r="N10" i="1" a="1"/>
  <c r="N10" i="1" s="1"/>
  <c r="M10" i="1" a="1"/>
  <c r="M10" i="1" s="1"/>
  <c r="N9" i="1" a="1"/>
  <c r="N9" i="1" s="1"/>
  <c r="N8" i="1" a="1"/>
  <c r="N8" i="1" s="1"/>
  <c r="M8" i="1" a="1"/>
  <c r="M8" i="1" s="1"/>
  <c r="M7" i="1" a="1"/>
  <c r="M7" i="1" s="1"/>
  <c r="N7" i="1" a="1"/>
  <c r="N7" i="1" s="1"/>
  <c r="N6" i="1" a="1"/>
  <c r="N6" i="1" s="1"/>
  <c r="M6" i="1"/>
  <c r="N5" i="1" a="1"/>
  <c r="N5" i="1" s="1"/>
  <c r="M5" i="1" a="1"/>
  <c r="M5" i="1" s="1"/>
  <c r="B12" i="1" a="1"/>
  <c r="B12" i="1" s="1"/>
  <c r="B8" i="1" a="1"/>
  <c r="B8" i="1" s="1"/>
  <c r="B3" i="1" a="1"/>
  <c r="B3" i="1" s="1"/>
  <c r="B4" i="1" s="1" a="1"/>
  <c r="B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<sst xmlns="http://schemas.openxmlformats.org/spreadsheetml/2006/main" count="24" uniqueCount="19">
  <si>
    <t>=OaDataDir()</t>
  </si>
  <si>
    <t>1=asdkfh923f98h</t>
  </si>
  <si>
    <t>hello world</t>
  </si>
  <si>
    <t>=OaToUpper(B7)</t>
  </si>
  <si>
    <t>=OaToUpper(B11)</t>
  </si>
  <si>
    <t>Excel</t>
  </si>
  <si>
    <t>Accel</t>
  </si>
  <si>
    <t>OaMatMul() and OaInner()</t>
  </si>
  <si>
    <t>=OaMaxDate(E14:F25)</t>
  </si>
  <si>
    <t>ID</t>
  </si>
  <si>
    <t>Yield</t>
  </si>
  <si>
    <t>Maturity</t>
  </si>
  <si>
    <t>=OaZeroBondPV(E30:F32)</t>
  </si>
  <si>
    <t>MyZCB_1</t>
  </si>
  <si>
    <t>MyZCB_2</t>
  </si>
  <si>
    <t>=OaCheapestOfZCB(E30:F32,E37:F39)</t>
  </si>
  <si>
    <t>yayayyaaaaayyyzzz</t>
  </si>
  <si>
    <t>=OaCharFreq(B15)</t>
  </si>
  <si>
    <t>=OaZeroBondPV(E37:F39)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</si>
</sst>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1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2D79F-C3C0-400A-8B96-98650617F2F4}">
  <sheetPr codeName="Sheet1"/>
  <dimension ref="B2:V45"/>
  <sheetViews>
    <sheetView tabSelected="1" workbookViewId="0">
      <selection activeCell="I17" sqref="I17"/>
    </sheetView>
  </sheetViews>
  <sheetFormatPr defaultRowHeight="15" x14ac:dyDescent="0.25"/>
  <cols>
    <col min="2" max="2" width="9.140625" customWidth="1"/>
    <col min="5" max="5" width="10.42578125" customWidth="1"/>
  </cols>
  <sheetData>
    <row r="2" spans="2:14" x14ac:dyDescent="0.25">
      <c r="B2" s="1" t="s">
        <v>0</v>
      </c>
      <c r="K2" t="s">
        <v>7</v>
      </c>
    </row>
    <row r="3" spans="2:14" x14ac:dyDescent="0.25">
      <c r="B3" t="str" cm="1">
        <f t="array" ref="B3">_xll.OaDataDir()</f>
        <v>C:\Users\Derek\START\prog_proj\OdinAnalytics\build_windows_x64\Debug</v>
      </c>
    </row>
    <row r="4" spans="2:14" x14ac:dyDescent="0.25">
      <c r="B4" t="str" cm="1">
        <f t="array" ref="B4">_xll.OaToUpper(B3)</f>
        <v>C:\USERS\DEREK\START\PROG_PROJ\ODINANALYTICS\BUILD_WINDOWS_X64\DEBUG</v>
      </c>
      <c r="M4" t="s">
        <v>5</v>
      </c>
      <c r="N4" t="s">
        <v>6</v>
      </c>
    </row>
    <row r="5" spans="2:14" x14ac:dyDescent="0.25">
      <c r="K5">
        <v>0.4662574303987832</v>
      </c>
      <c r="L5">
        <v>0.69632514144071633</v>
      </c>
      <c r="M5" cm="1">
        <f t="array" ref="M5">MMULT(TRANSPOSE(K5:K14),L5:L14)</f>
        <v>4.0298941418688248</v>
      </c>
      <c r="N5" cm="1">
        <f t="array" ref="N5">_xll.OaMatMul(TRANSPOSE(K5:K14),L5:L14)</f>
        <v>4.0298943519592285</v>
      </c>
    </row>
    <row r="6" spans="2:14" x14ac:dyDescent="0.25">
      <c r="B6" s="1" t="s">
        <v>3</v>
      </c>
      <c r="K6">
        <v>0.95612839965181751</v>
      </c>
      <c r="L6">
        <v>0.73438318816664561</v>
      </c>
      <c r="M6">
        <f>K7*L7</f>
        <v>0.48601886889381574</v>
      </c>
      <c r="N6" cm="1">
        <f t="array" ref="N6">_xll.OaMatMul(K7,L7)</f>
        <v>0.48601886630058289</v>
      </c>
    </row>
    <row r="7" spans="2:14" x14ac:dyDescent="0.25">
      <c r="B7" s="1" t="s">
        <v>1</v>
      </c>
      <c r="K7">
        <v>0.90892892539133174</v>
      </c>
      <c r="L7">
        <v>0.53471603259249822</v>
      </c>
      <c r="M7" t="e" cm="1">
        <f t="array" ref="M7">MMULT(K8,L8:L10)</f>
        <v>#VALUE!</v>
      </c>
      <c r="N7" t="str" cm="1">
        <f t="array" ref="N7">_xll.OaInner(K8,L8:L10)</f>
        <v>#ERROR: v1 and v2 have different sizes</v>
      </c>
    </row>
    <row r="8" spans="2:14" x14ac:dyDescent="0.25">
      <c r="B8" t="str" cm="1">
        <f t="array" ref="B8">_xll.OaToUpper(B7)</f>
        <v>1=ASDKFH923F98H</v>
      </c>
      <c r="K8">
        <v>0.61575197906195855</v>
      </c>
      <c r="L8">
        <v>0.58129025797128286</v>
      </c>
      <c r="M8" cm="1">
        <f t="array" ref="M8">MMULT(TRANSPOSE(K5:K14),K5:K14)</f>
        <v>3.8850234688136873</v>
      </c>
      <c r="N8" cm="1">
        <f t="array" ref="N8">_xll.OaMatMul(TRANSPOSE(K5:K14),K5:K14)</f>
        <v>3.8850235939025879</v>
      </c>
    </row>
    <row r="9" spans="2:14" x14ac:dyDescent="0.25">
      <c r="K9">
        <v>0.34024441562296293</v>
      </c>
      <c r="L9">
        <v>0.81391512053144988</v>
      </c>
      <c r="N9" t="str" cm="1">
        <f t="array" ref="N9">_xll.OaInner(K9:L10,L9:L10)</f>
        <v>#ERROR: xltypeMulti is not a row or column vector</v>
      </c>
    </row>
    <row r="10" spans="2:14" x14ac:dyDescent="0.25">
      <c r="B10" s="1" t="s">
        <v>4</v>
      </c>
      <c r="K10">
        <v>0.55051075213830725</v>
      </c>
      <c r="L10">
        <v>0.37676560762761202</v>
      </c>
      <c r="M10" cm="1">
        <f t="array" ref="M10">MMULT(K10:L10,L11:L12)</f>
        <v>0.83560062195268359</v>
      </c>
      <c r="N10" cm="1">
        <f t="array" ref="N10">_xll.OaMatMul(K10:L10,L11:L12)</f>
        <v>0.83560061454772949</v>
      </c>
    </row>
    <row r="11" spans="2:14" x14ac:dyDescent="0.25">
      <c r="B11" t="s">
        <v>2</v>
      </c>
      <c r="K11">
        <v>0.31656488555751006</v>
      </c>
      <c r="L11">
        <v>0.85193617805554767</v>
      </c>
      <c r="N11" t="str" cm="1">
        <f t="array" ref="N11">_xll.OaInner("hello", 1)</f>
        <v>#ERROR: cannot fill floating-point buffer from XLOPER12 of type xltypeStr</v>
      </c>
    </row>
    <row r="12" spans="2:14" x14ac:dyDescent="0.25">
      <c r="B12" t="str" cm="1">
        <f t="array" ref="B12">_xll.OaToUpper(B11)</f>
        <v>HELLO WORLD</v>
      </c>
      <c r="K12">
        <v>0.75111676527370919</v>
      </c>
      <c r="L12">
        <v>0.97302032981691444</v>
      </c>
      <c r="M12" cm="1">
        <f t="array" ref="M12">MMULT(K12,L12)</f>
        <v>0.73085188267763845</v>
      </c>
      <c r="N12" cm="1">
        <f t="array" ref="N12">_xll.OaMatMul(K12,L12)</f>
        <v>0.73085188865661621</v>
      </c>
    </row>
    <row r="13" spans="2:14" x14ac:dyDescent="0.25">
      <c r="K13">
        <v>0.68128317953136963</v>
      </c>
      <c r="L13">
        <v>0.97887652903618427</v>
      </c>
      <c r="N13" t="e" cm="1">
        <f t="array" ref="N13">_xll.OaMatMul(1.5, "burger")</f>
        <v>#VALUE!</v>
      </c>
    </row>
    <row r="14" spans="2:14" x14ac:dyDescent="0.25">
      <c r="B14" s="1" t="s">
        <v>17</v>
      </c>
      <c r="E14" s="2">
        <v>45752</v>
      </c>
      <c r="F14">
        <v>0.1003700017865925</v>
      </c>
      <c r="K14">
        <v>2.7907463534997179E-2</v>
      </c>
      <c r="L14">
        <v>0.26274636403375018</v>
      </c>
    </row>
    <row r="15" spans="2:14" x14ac:dyDescent="0.25">
      <c r="B15" t="s">
        <v>16</v>
      </c>
      <c r="E15" s="2">
        <v>45753</v>
      </c>
      <c r="F15">
        <v>0.19181280754811181</v>
      </c>
    </row>
    <row r="16" spans="2:14" x14ac:dyDescent="0.25">
      <c r="B16" t="str" cm="1">
        <f t="array" ref="B16:C19">_xll.OaCharFreq(B15)</f>
        <v>Char</v>
      </c>
      <c r="C16" t="str">
        <v>Freq</v>
      </c>
      <c r="E16" s="2">
        <v>45754</v>
      </c>
      <c r="F16">
        <v>0.18393770892399597</v>
      </c>
      <c r="M16" t="s">
        <v>5</v>
      </c>
    </row>
    <row r="17" spans="2:22" x14ac:dyDescent="0.25">
      <c r="B17" t="str">
        <v>a</v>
      </c>
      <c r="C17" s="4">
        <v>7</v>
      </c>
      <c r="E17" s="2">
        <v>36195</v>
      </c>
      <c r="F17">
        <v>0.73121189214681648</v>
      </c>
      <c r="M17" cm="1">
        <f t="array" ref="M17:V26">MMULT(K5:L14,TRANSPOSE(K5:L14))</f>
        <v>0.70226469400450975</v>
      </c>
      <c r="N17">
        <v>0.95717144812478094</v>
      </c>
      <c r="O17">
        <v>0.79613108219367967</v>
      </c>
      <c r="P17">
        <v>0.69186595662035821</v>
      </c>
      <c r="Q17">
        <v>0.72539104836069779</v>
      </c>
      <c r="R17">
        <v>0.51903109372020295</v>
      </c>
      <c r="S17">
        <v>0.74082530977752192</v>
      </c>
      <c r="T17">
        <v>1.0277522916904209</v>
      </c>
      <c r="U17">
        <v>0.99926968219632772</v>
      </c>
      <c r="V17">
        <v>0.19596896133561056</v>
      </c>
    </row>
    <row r="18" spans="2:22" x14ac:dyDescent="0.25">
      <c r="B18" t="str">
        <v>y</v>
      </c>
      <c r="C18" s="4">
        <v>7</v>
      </c>
      <c r="E18" s="2">
        <v>45756</v>
      </c>
      <c r="F18">
        <v>0.18564821171408497</v>
      </c>
      <c r="M18">
        <v>0.95717144812478094</v>
      </c>
      <c r="N18">
        <v>1.4535001836825523</v>
      </c>
      <c r="O18">
        <v>1.2617392236107592</v>
      </c>
      <c r="P18">
        <v>1.0156277472221125</v>
      </c>
      <c r="Q18">
        <v>0.92304292971297719</v>
      </c>
      <c r="R18">
        <v>0.80304929255422719</v>
      </c>
      <c r="S18">
        <v>0.92832428396900291</v>
      </c>
      <c r="T18">
        <v>1.432733842694708</v>
      </c>
      <c r="U18">
        <v>1.3702646623701233</v>
      </c>
      <c r="V18">
        <v>0.21963963094635786</v>
      </c>
    </row>
    <row r="19" spans="2:22" x14ac:dyDescent="0.25">
      <c r="B19" t="str">
        <v>z</v>
      </c>
      <c r="C19" s="4">
        <v>3</v>
      </c>
      <c r="E19" s="2">
        <v>45757</v>
      </c>
      <c r="F19">
        <v>5.7782145222804004E-2</v>
      </c>
      <c r="M19">
        <v>0.79613108219367967</v>
      </c>
      <c r="N19">
        <v>1.2617392236107592</v>
      </c>
      <c r="O19">
        <v>1.1120730269245027</v>
      </c>
      <c r="P19">
        <v>0.87050000516344594</v>
      </c>
      <c r="Q19">
        <v>0.74447145518020319</v>
      </c>
      <c r="R19">
        <v>0.701837757285384</v>
      </c>
      <c r="S19">
        <v>0.74327891439829608</v>
      </c>
      <c r="T19">
        <v>1.2030013246951903</v>
      </c>
      <c r="U19">
        <v>1.1426589622627814</v>
      </c>
      <c r="V19">
        <v>0.16586059419549393</v>
      </c>
    </row>
    <row r="20" spans="2:22" x14ac:dyDescent="0.25">
      <c r="E20" s="2">
        <v>46149</v>
      </c>
      <c r="F20">
        <v>0.86891427586777348</v>
      </c>
      <c r="M20">
        <v>0.69186595662035821</v>
      </c>
      <c r="N20">
        <v>1.0156277472221125</v>
      </c>
      <c r="O20">
        <v>0.87050000516344594</v>
      </c>
      <c r="P20">
        <v>0.71704886373103927</v>
      </c>
      <c r="Q20">
        <v>0.6826271026650732</v>
      </c>
      <c r="R20">
        <v>0.5579882623766117</v>
      </c>
      <c r="S20">
        <v>0.69014765550053736</v>
      </c>
      <c r="T20">
        <v>1.0281088732544799</v>
      </c>
      <c r="U20">
        <v>0.98851285618354201</v>
      </c>
      <c r="V20">
        <v>0.16991597763246918</v>
      </c>
    </row>
    <row r="21" spans="2:22" x14ac:dyDescent="0.25">
      <c r="E21" s="2">
        <v>45759</v>
      </c>
      <c r="F21">
        <v>0.320168082767186</v>
      </c>
      <c r="M21">
        <v>0.72539104836069779</v>
      </c>
      <c r="N21">
        <v>0.92304292971297719</v>
      </c>
      <c r="O21">
        <v>0.74447145518020319</v>
      </c>
      <c r="P21">
        <v>0.6826271026650732</v>
      </c>
      <c r="Q21">
        <v>0.77822408579233615</v>
      </c>
      <c r="R21">
        <v>0.49396343409978893</v>
      </c>
      <c r="S21">
        <v>0.80111317154044892</v>
      </c>
      <c r="T21">
        <v>1.0475192438876484</v>
      </c>
      <c r="U21">
        <v>1.0285252054092981</v>
      </c>
      <c r="V21">
        <v>0.22334859717371425</v>
      </c>
    </row>
    <row r="22" spans="2:22" x14ac:dyDescent="0.25">
      <c r="E22" s="2">
        <v>45760</v>
      </c>
      <c r="F22">
        <v>0.81702890088003821</v>
      </c>
      <c r="M22">
        <v>0.51903109372020295</v>
      </c>
      <c r="N22">
        <v>0.80304929255422719</v>
      </c>
      <c r="O22">
        <v>0.701837757285384</v>
      </c>
      <c r="P22">
        <v>0.5579882623766117</v>
      </c>
      <c r="Q22">
        <v>0.49396343409978893</v>
      </c>
      <c r="R22">
        <v>0.44501441131088848</v>
      </c>
      <c r="S22">
        <v>0.4952526250338859</v>
      </c>
      <c r="T22">
        <v>0.78009845119201127</v>
      </c>
      <c r="U22">
        <v>0.74386072583771745</v>
      </c>
      <c r="V22">
        <v>0.11435715223804531</v>
      </c>
    </row>
    <row r="23" spans="2:22" x14ac:dyDescent="0.25">
      <c r="E23" s="2">
        <v>45761</v>
      </c>
      <c r="F23">
        <v>9.3049336063013355E-2</v>
      </c>
      <c r="M23">
        <v>0.74082530977752192</v>
      </c>
      <c r="N23">
        <v>0.92832428396900291</v>
      </c>
      <c r="O23">
        <v>0.74327891439829608</v>
      </c>
      <c r="P23">
        <v>0.69014765550053736</v>
      </c>
      <c r="Q23">
        <v>0.80111317154044892</v>
      </c>
      <c r="R23">
        <v>0.4952526250338859</v>
      </c>
      <c r="S23">
        <v>0.82600857824793317</v>
      </c>
      <c r="T23">
        <v>1.0667284137937694</v>
      </c>
      <c r="U23">
        <v>1.0496106606959719</v>
      </c>
      <c r="V23">
        <v>0.23267765617306152</v>
      </c>
    </row>
    <row r="24" spans="2:22" x14ac:dyDescent="0.25">
      <c r="E24" s="2">
        <v>45762</v>
      </c>
      <c r="F24">
        <v>0.24195142064711739</v>
      </c>
      <c r="M24">
        <v>1.0277522916904209</v>
      </c>
      <c r="N24">
        <v>1.432733842694708</v>
      </c>
      <c r="O24">
        <v>1.2030013246951903</v>
      </c>
      <c r="P24">
        <v>1.0281088732544799</v>
      </c>
      <c r="Q24">
        <v>1.0475192438876484</v>
      </c>
      <c r="R24">
        <v>0.78009845119201127</v>
      </c>
      <c r="S24">
        <v>1.0667284137937694</v>
      </c>
      <c r="T24">
        <v>1.5109449573122573</v>
      </c>
      <c r="U24">
        <v>1.4641899811778143</v>
      </c>
      <c r="V24">
        <v>0.27661931752771574</v>
      </c>
    </row>
    <row r="25" spans="2:22" x14ac:dyDescent="0.25">
      <c r="E25" s="2">
        <v>45763</v>
      </c>
      <c r="F25">
        <v>0.86612478270086735</v>
      </c>
      <c r="M25">
        <v>0.99926968219632772</v>
      </c>
      <c r="N25">
        <v>1.3702646623701233</v>
      </c>
      <c r="O25">
        <v>1.1426589622627814</v>
      </c>
      <c r="P25">
        <v>0.98851285618354201</v>
      </c>
      <c r="Q25">
        <v>1.0285252054092981</v>
      </c>
      <c r="R25">
        <v>0.74386072583771745</v>
      </c>
      <c r="S25">
        <v>1.0496106606959719</v>
      </c>
      <c r="T25">
        <v>1.4641899811778143</v>
      </c>
      <c r="U25">
        <v>1.4223460298103001</v>
      </c>
      <c r="V25">
        <v>0.27620913433201372</v>
      </c>
    </row>
    <row r="26" spans="2:22" x14ac:dyDescent="0.25">
      <c r="M26">
        <v>0.19596896133561056</v>
      </c>
      <c r="N26">
        <v>0.21963963094635786</v>
      </c>
      <c r="O26">
        <v>0.16586059419549393</v>
      </c>
      <c r="P26">
        <v>0.16991597763246918</v>
      </c>
      <c r="Q26">
        <v>0.22334859717371425</v>
      </c>
      <c r="R26">
        <v>0.11435715223804531</v>
      </c>
      <c r="S26">
        <v>0.23267765617306152</v>
      </c>
      <c r="T26">
        <v>0.27661931752771574</v>
      </c>
      <c r="U26">
        <v>0.27620913433201372</v>
      </c>
      <c r="V26">
        <v>6.981447833391316E-2</v>
      </c>
    </row>
    <row r="27" spans="2:22" x14ac:dyDescent="0.25">
      <c r="E27" s="1" t="s">
        <v>8</v>
      </c>
    </row>
    <row r="28" spans="2:22" x14ac:dyDescent="0.25">
      <c r="E28" s="2" cm="1">
        <f t="array" ref="E28">_xll.OaMaxDate(E14:F25)</f>
        <v>46149</v>
      </c>
      <c r="M28" t="s">
        <v>6</v>
      </c>
    </row>
    <row r="29" spans="2:22" x14ac:dyDescent="0.25">
      <c r="M29" cm="1">
        <f t="array" ref="M29:V38">_xll.OaMatMul(K5:L14,TRANSPOSE(K5:L14))</f>
        <v>0.70226466655731201</v>
      </c>
      <c r="N29">
        <v>0.95717144012451172</v>
      </c>
      <c r="O29">
        <v>0.79613107442855835</v>
      </c>
      <c r="P29">
        <v>0.69186592102050781</v>
      </c>
      <c r="Q29">
        <v>0.72539103031158447</v>
      </c>
      <c r="R29">
        <v>0.5190311074256897</v>
      </c>
      <c r="S29">
        <v>0.74082529544830322</v>
      </c>
      <c r="T29">
        <v>1.0277522802352905</v>
      </c>
      <c r="U29">
        <v>0.99926972389221191</v>
      </c>
      <c r="V29">
        <v>0.19596897065639496</v>
      </c>
    </row>
    <row r="30" spans="2:22" x14ac:dyDescent="0.25">
      <c r="E30" t="s">
        <v>9</v>
      </c>
      <c r="F30" t="s">
        <v>13</v>
      </c>
      <c r="M30">
        <v>0.95717144012451172</v>
      </c>
      <c r="N30">
        <v>1.4535002708435059</v>
      </c>
      <c r="O30">
        <v>1.2617392539978027</v>
      </c>
      <c r="P30">
        <v>1.0156277418136597</v>
      </c>
      <c r="Q30">
        <v>0.923042893409729</v>
      </c>
      <c r="R30">
        <v>0.80304932594299316</v>
      </c>
      <c r="S30">
        <v>0.92832428216934204</v>
      </c>
      <c r="T30">
        <v>1.4327337741851807</v>
      </c>
      <c r="U30">
        <v>1.3702646493911743</v>
      </c>
      <c r="V30">
        <v>0.21963962912559509</v>
      </c>
    </row>
    <row r="31" spans="2:22" x14ac:dyDescent="0.25">
      <c r="E31" t="s">
        <v>10</v>
      </c>
      <c r="F31" s="3">
        <v>3.456E-2</v>
      </c>
      <c r="M31">
        <v>0.79613107442855835</v>
      </c>
      <c r="N31">
        <v>1.2617392539978027</v>
      </c>
      <c r="O31">
        <v>1.1120730638504028</v>
      </c>
      <c r="P31">
        <v>0.87050002813339233</v>
      </c>
      <c r="Q31">
        <v>0.74447143077850342</v>
      </c>
      <c r="R31">
        <v>0.70183777809143066</v>
      </c>
      <c r="S31">
        <v>0.74327892065048218</v>
      </c>
      <c r="T31">
        <v>1.2030013799667358</v>
      </c>
      <c r="U31">
        <v>1.1426589488983154</v>
      </c>
      <c r="V31">
        <v>0.16586059331893921</v>
      </c>
    </row>
    <row r="32" spans="2:22" x14ac:dyDescent="0.25">
      <c r="E32" t="s">
        <v>11</v>
      </c>
      <c r="F32" s="4">
        <v>1.5</v>
      </c>
      <c r="M32">
        <v>0.69186592102050781</v>
      </c>
      <c r="N32">
        <v>1.0156277418136597</v>
      </c>
      <c r="O32">
        <v>0.87050002813339233</v>
      </c>
      <c r="P32">
        <v>0.71704888343811035</v>
      </c>
      <c r="Q32">
        <v>0.68262708187103271</v>
      </c>
      <c r="R32">
        <v>0.55798828601837158</v>
      </c>
      <c r="S32">
        <v>0.69014763832092285</v>
      </c>
      <c r="T32">
        <v>1.0281088352203369</v>
      </c>
      <c r="U32">
        <v>0.98851287364959717</v>
      </c>
      <c r="V32">
        <v>0.16991597414016724</v>
      </c>
    </row>
    <row r="33" spans="5:22" x14ac:dyDescent="0.25">
      <c r="M33">
        <v>0.72539103031158447</v>
      </c>
      <c r="N33">
        <v>0.923042893409729</v>
      </c>
      <c r="O33">
        <v>0.74447143077850342</v>
      </c>
      <c r="P33">
        <v>0.68262708187103271</v>
      </c>
      <c r="Q33">
        <v>0.77822411060333252</v>
      </c>
      <c r="R33">
        <v>0.49396342039108276</v>
      </c>
      <c r="S33">
        <v>0.80111312866210938</v>
      </c>
      <c r="T33">
        <v>1.0475192070007324</v>
      </c>
      <c r="U33">
        <v>1.0285252332687378</v>
      </c>
      <c r="V33">
        <v>0.22334860265254974</v>
      </c>
    </row>
    <row r="34" spans="5:22" x14ac:dyDescent="0.25">
      <c r="E34" s="1" t="s">
        <v>12</v>
      </c>
      <c r="M34">
        <v>0.5190311074256897</v>
      </c>
      <c r="N34">
        <v>0.80304932594299316</v>
      </c>
      <c r="O34">
        <v>0.70183777809143066</v>
      </c>
      <c r="P34">
        <v>0.55798828601837158</v>
      </c>
      <c r="Q34">
        <v>0.49396342039108276</v>
      </c>
      <c r="R34">
        <v>0.44501441717147827</v>
      </c>
      <c r="S34">
        <v>0.49525260925292969</v>
      </c>
      <c r="T34">
        <v>0.78009843826293945</v>
      </c>
      <c r="U34">
        <v>0.74386072158813477</v>
      </c>
      <c r="V34">
        <v>0.11435715109109879</v>
      </c>
    </row>
    <row r="35" spans="5:22" x14ac:dyDescent="0.25">
      <c r="E35" cm="1">
        <f t="array" ref="E35">_xll.OaZeroBondPV(E30:F32)</f>
        <v>0.95031257391346224</v>
      </c>
      <c r="M35">
        <v>0.74082529544830322</v>
      </c>
      <c r="N35">
        <v>0.92832428216934204</v>
      </c>
      <c r="O35">
        <v>0.74327892065048218</v>
      </c>
      <c r="P35">
        <v>0.69014763832092285</v>
      </c>
      <c r="Q35">
        <v>0.80111312866210938</v>
      </c>
      <c r="R35">
        <v>0.49525260925292969</v>
      </c>
      <c r="S35">
        <v>0.82600861787796021</v>
      </c>
      <c r="T35">
        <v>1.0667284727096558</v>
      </c>
      <c r="U35">
        <v>1.0496106147766113</v>
      </c>
      <c r="V35">
        <v>0.2326776534318924</v>
      </c>
    </row>
    <row r="36" spans="5:22" x14ac:dyDescent="0.25">
      <c r="M36">
        <v>1.0277522802352905</v>
      </c>
      <c r="N36">
        <v>1.4327337741851807</v>
      </c>
      <c r="O36">
        <v>1.2030013799667358</v>
      </c>
      <c r="P36">
        <v>1.0281088352203369</v>
      </c>
      <c r="Q36">
        <v>1.0475192070007324</v>
      </c>
      <c r="R36">
        <v>0.78009843826293945</v>
      </c>
      <c r="S36">
        <v>1.0667284727096558</v>
      </c>
      <c r="T36">
        <v>1.5109449625015259</v>
      </c>
      <c r="U36">
        <v>1.4641900062561035</v>
      </c>
      <c r="V36">
        <v>0.2766193151473999</v>
      </c>
    </row>
    <row r="37" spans="5:22" x14ac:dyDescent="0.25">
      <c r="E37" t="s">
        <v>9</v>
      </c>
      <c r="F37" t="s">
        <v>14</v>
      </c>
      <c r="M37">
        <v>0.99926972389221191</v>
      </c>
      <c r="N37">
        <v>1.3702646493911743</v>
      </c>
      <c r="O37">
        <v>1.1426589488983154</v>
      </c>
      <c r="P37">
        <v>0.98851287364959717</v>
      </c>
      <c r="Q37">
        <v>1.0285252332687378</v>
      </c>
      <c r="R37">
        <v>0.74386072158813477</v>
      </c>
      <c r="S37">
        <v>1.0496106147766113</v>
      </c>
      <c r="T37">
        <v>1.4641900062561035</v>
      </c>
      <c r="U37">
        <v>1.4223459959030151</v>
      </c>
      <c r="V37">
        <v>0.27620914578437805</v>
      </c>
    </row>
    <row r="38" spans="5:22" x14ac:dyDescent="0.25">
      <c r="E38" t="s">
        <v>10</v>
      </c>
      <c r="F38" s="3">
        <v>4.5499999999999999E-2</v>
      </c>
      <c r="M38">
        <v>0.19596897065639496</v>
      </c>
      <c r="N38">
        <v>0.21963962912559509</v>
      </c>
      <c r="O38">
        <v>0.16586059331893921</v>
      </c>
      <c r="P38">
        <v>0.16991597414016724</v>
      </c>
      <c r="Q38">
        <v>0.22334860265254974</v>
      </c>
      <c r="R38">
        <v>0.11435715109109879</v>
      </c>
      <c r="S38">
        <v>0.2326776534318924</v>
      </c>
      <c r="T38">
        <v>0.2766193151473999</v>
      </c>
      <c r="U38">
        <v>0.27620914578437805</v>
      </c>
      <c r="V38">
        <v>6.9814473390579224E-2</v>
      </c>
    </row>
    <row r="39" spans="5:22" x14ac:dyDescent="0.25">
      <c r="E39" t="s">
        <v>11</v>
      </c>
      <c r="F39" s="4">
        <v>2.4</v>
      </c>
    </row>
    <row r="40" spans="5:22" x14ac:dyDescent="0.25">
      <c r="M40" t="str" cm="1">
        <f t="array" ref="M40">_xll.OaMatMul(K5:K14,K5:K14)</f>
        <v>#ERROR: m1 columns (1) do not match m2 rows (10)</v>
      </c>
    </row>
    <row r="41" spans="5:22" x14ac:dyDescent="0.25">
      <c r="E41" s="1" t="s">
        <v>18</v>
      </c>
    </row>
    <row r="42" spans="5:22" x14ac:dyDescent="0.25">
      <c r="E42" cm="1">
        <f t="array" ref="E42">_xll.OaZeroBondPV(E37:F39)</f>
        <v>0.89871566321040386</v>
      </c>
    </row>
    <row r="44" spans="5:22" x14ac:dyDescent="0.25">
      <c r="E44" s="1" t="s">
        <v>15</v>
      </c>
    </row>
    <row r="45" spans="5:22" x14ac:dyDescent="0.25">
      <c r="E45" t="str" cm="1">
        <f t="array" ref="E45">_xll.OaCheapestOfZCB(E30:F32,E37:F39)</f>
        <v>MyZCB_2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H</dc:creator>
  <cp:lastModifiedBy>admin H</cp:lastModifiedBy>
  <dcterms:created xsi:type="dcterms:W3CDTF">2026-01-24T03:20:51Z</dcterms:created>
  <dcterms:modified xsi:type="dcterms:W3CDTF">2026-02-01T01:23:31Z</dcterms:modified>
</cp:coreProperties>
</file>