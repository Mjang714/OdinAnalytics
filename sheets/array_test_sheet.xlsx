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xcelPy\OdinAnalytics\sheets\"/>
    </mc:Choice>
  </mc:AlternateContent>
  <xr:revisionPtr revIDLastSave="0" documentId="13_ncr:1_{A6CC3D26-0B80-40E0-B311-88E9A147F331}" xr6:coauthVersionLast="47" xr6:coauthVersionMax="47" xr10:uidLastSave="{00000000-0000-0000-0000-000000000000}"/>
  <bookViews>
    <workbookView xWindow="57480" yWindow="-120" windowWidth="29040" windowHeight="17520" activeTab="1" xr2:uid="{CC038B3D-5DA1-43AC-BE17-600265123F86}"/>
  </bookViews>
  <sheets>
    <sheet name="Sheet1" sheetId="1" r:id="rId1"/>
    <sheet name="Inventory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14" i="2" s="1" a="1"/>
  <c r="B7" i="1" a="1"/>
  <c r="J7" i="2"/>
  <c r="L1" i="2"/>
  <c r="K7" i="2"/>
  <c r="G7" i="2"/>
  <c r="G14" i="2" a="1"/>
  <c r="J18" i="2" a="1"/>
  <c r="N7" i="2" a="1"/>
  <c r="E14" i="2" l="1"/>
  <c r="D15" i="2"/>
  <c r="E15" i="2"/>
  <c r="D16" i="2"/>
  <c r="E16" i="2"/>
  <c r="D14" i="2"/>
  <c r="K20" i="2"/>
  <c r="J18" i="2"/>
  <c r="K18" i="2"/>
  <c r="J20" i="2"/>
  <c r="K19" i="2"/>
  <c r="J19" i="2"/>
  <c r="G14" i="2"/>
  <c r="H14" i="2"/>
  <c r="H15" i="2"/>
  <c r="H16" i="2"/>
  <c r="G15" i="2"/>
  <c r="G16" i="2"/>
  <c r="N7" i="2"/>
  <c r="N8" i="2"/>
  <c r="O8" i="2"/>
  <c r="O7" i="2"/>
  <c r="N9" i="2"/>
  <c r="O9" i="2"/>
  <c r="B8" i="1"/>
  <c r="B9" i="1"/>
  <c r="C7" i="1"/>
  <c r="C8" i="1"/>
  <c r="B7" i="1"/>
  <c r="C9" i="1"/>
  <c r="J14" i="2" a="1"/>
  <c r="D5" i="2"/>
  <c r="J14" i="2" l="1"/>
  <c r="K14" i="2"/>
  <c r="J15" i="2"/>
  <c r="K16" i="2"/>
  <c r="J16" i="2"/>
  <c r="K15" i="2"/>
</calcChain>
</file>

<file path=xl/sharedStrings.xml><?xml version="1.0" encoding="utf-8"?>
<sst xmlns="http://schemas.openxmlformats.org/spreadsheetml/2006/main" count="24" uniqueCount="19">
  <si>
    <t xml:space="preserve">apple </t>
  </si>
  <si>
    <t>banna</t>
  </si>
  <si>
    <t>jack fruit</t>
  </si>
  <si>
    <t>Curt</t>
  </si>
  <si>
    <t>Ryan</t>
  </si>
  <si>
    <t>Associate</t>
  </si>
  <si>
    <t>Driector</t>
  </si>
  <si>
    <t>Managing Director</t>
  </si>
  <si>
    <t>JLC</t>
  </si>
  <si>
    <t>Rolex</t>
  </si>
  <si>
    <t>AP</t>
  </si>
  <si>
    <t>Polaris:6</t>
  </si>
  <si>
    <t>Royal Oak: 50</t>
  </si>
  <si>
    <t xml:space="preserve">Mike </t>
  </si>
  <si>
    <t>Submariner:15</t>
  </si>
  <si>
    <t>Reverso:9</t>
  </si>
  <si>
    <t>Oyster Perpetual:15</t>
  </si>
  <si>
    <t>Royal Oak:20</t>
  </si>
  <si>
    <t>DayTona:60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</si>
</sst>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ABD2-AE01-4866-8EEF-6EB1F781458C}">
  <dimension ref="B7:C9"/>
  <sheetViews>
    <sheetView topLeftCell="A3" workbookViewId="0">
      <selection activeCell="C8" sqref="C8"/>
    </sheetView>
  </sheetViews>
  <sheetFormatPr defaultRowHeight="15" x14ac:dyDescent="0.25"/>
  <cols>
    <col min="9" max="9" width="32.42578125" bestFit="1" customWidth="1"/>
    <col min="13" max="13" width="12.28515625" bestFit="1" customWidth="1"/>
  </cols>
  <sheetData>
    <row r="7" spans="2:3" x14ac:dyDescent="0.25">
      <c r="B7" t="str">
        <f t="array" ref="B7:C9">_xll.oxlDisplay(Inventory!D7)</f>
        <v>jack fruit</v>
      </c>
      <c r="C7">
        <v>50</v>
      </c>
    </row>
    <row r="8" spans="2:3" x14ac:dyDescent="0.25">
      <c r="B8" t="str">
        <v xml:space="preserve">apple </v>
      </c>
      <c r="C8">
        <v>170</v>
      </c>
    </row>
    <row r="9" spans="2:3" x14ac:dyDescent="0.25">
      <c r="B9" t="str">
        <v>banna</v>
      </c>
      <c r="C9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8C1D-2C17-41AA-9577-0406209DFD12}">
  <dimension ref="D1:O20"/>
  <sheetViews>
    <sheetView tabSelected="1" topLeftCell="C1" workbookViewId="0">
      <selection activeCell="D19" sqref="D19"/>
    </sheetView>
  </sheetViews>
  <sheetFormatPr defaultRowHeight="15" x14ac:dyDescent="0.25"/>
  <cols>
    <col min="4" max="4" width="22.28515625" bestFit="1" customWidth="1"/>
    <col min="7" max="7" width="26.7109375" bestFit="1" customWidth="1"/>
    <col min="8" max="8" width="17.42578125" bestFit="1" customWidth="1"/>
    <col min="10" max="10" width="26.7109375" bestFit="1" customWidth="1"/>
    <col min="11" max="11" width="27.7109375" bestFit="1" customWidth="1"/>
    <col min="13" max="13" width="12.7109375" bestFit="1" customWidth="1"/>
  </cols>
  <sheetData>
    <row r="1" spans="4:15" x14ac:dyDescent="0.25">
      <c r="L1" t="str">
        <f>_xll.oxlDictionary(L3:N3,L4:N4)</f>
        <v>Dictionary_Inventory_$0$11:1</v>
      </c>
    </row>
    <row r="3" spans="4:15" x14ac:dyDescent="0.25">
      <c r="J3" s="1">
        <v>44999</v>
      </c>
      <c r="L3" t="s">
        <v>8</v>
      </c>
      <c r="M3" t="s">
        <v>9</v>
      </c>
      <c r="N3" t="s">
        <v>10</v>
      </c>
    </row>
    <row r="4" spans="4:15" x14ac:dyDescent="0.25">
      <c r="L4" t="s">
        <v>11</v>
      </c>
      <c r="M4" t="s">
        <v>18</v>
      </c>
      <c r="N4" t="s">
        <v>12</v>
      </c>
    </row>
    <row r="5" spans="4:15" x14ac:dyDescent="0.25">
      <c r="D5" t="str">
        <f>_xll.oxlArray(D14:F14)</f>
        <v>Array_Inventory_$4$3:1</v>
      </c>
    </row>
    <row r="7" spans="4:15" x14ac:dyDescent="0.25">
      <c r="D7" t="str">
        <f>_xll.oxlArray(D10:E12)</f>
        <v>Array_Inventory_$6$3:9</v>
      </c>
      <c r="G7" t="str">
        <f>_xll.oxlDictionary(G10:H12)</f>
        <v>Dictionary_Inventory_$6$6:1</v>
      </c>
      <c r="J7" t="str">
        <f>_xll.oxlDictionary($J$10:$J$12,K10:K12)</f>
        <v>Dictionary_Inventory_$6$9:1</v>
      </c>
      <c r="K7" t="str">
        <f>_xll.oxlDictionary($J$10:$J$12,L10:L12)</f>
        <v>Dictionary_Inventory_$6$10:1</v>
      </c>
      <c r="N7" t="str">
        <f t="array" ref="N7:O9">_xll.oxlDisplay(L1)</f>
        <v>AP</v>
      </c>
      <c r="O7" t="str">
        <v>Royal Oak: 50</v>
      </c>
    </row>
    <row r="8" spans="4:15" x14ac:dyDescent="0.25">
      <c r="N8" t="str">
        <v>JLC</v>
      </c>
      <c r="O8" t="str">
        <v>Polaris:6</v>
      </c>
    </row>
    <row r="9" spans="4:15" x14ac:dyDescent="0.25">
      <c r="N9" t="str">
        <v>Rolex</v>
      </c>
      <c r="O9" t="str">
        <v>DayTona:60</v>
      </c>
    </row>
    <row r="10" spans="4:15" x14ac:dyDescent="0.25">
      <c r="D10" t="s">
        <v>2</v>
      </c>
      <c r="E10">
        <v>50</v>
      </c>
      <c r="G10" t="s">
        <v>3</v>
      </c>
      <c r="H10" t="s">
        <v>7</v>
      </c>
      <c r="J10" t="s">
        <v>8</v>
      </c>
      <c r="K10" t="s">
        <v>11</v>
      </c>
      <c r="L10" t="s">
        <v>15</v>
      </c>
    </row>
    <row r="11" spans="4:15" x14ac:dyDescent="0.25">
      <c r="D11" t="s">
        <v>0</v>
      </c>
      <c r="E11">
        <v>170</v>
      </c>
      <c r="G11" t="s">
        <v>13</v>
      </c>
      <c r="H11" t="s">
        <v>6</v>
      </c>
      <c r="J11" t="s">
        <v>9</v>
      </c>
      <c r="K11" t="s">
        <v>14</v>
      </c>
      <c r="L11" t="s">
        <v>16</v>
      </c>
    </row>
    <row r="12" spans="4:15" x14ac:dyDescent="0.25">
      <c r="D12" t="s">
        <v>1</v>
      </c>
      <c r="E12">
        <v>120</v>
      </c>
      <c r="G12" t="s">
        <v>4</v>
      </c>
      <c r="H12" t="s">
        <v>5</v>
      </c>
      <c r="J12" t="s">
        <v>10</v>
      </c>
      <c r="K12" t="s">
        <v>12</v>
      </c>
      <c r="L12" t="s">
        <v>17</v>
      </c>
    </row>
    <row r="14" spans="4:15" x14ac:dyDescent="0.25">
      <c r="D14" t="str">
        <f t="array" ref="D14:E16">_xll.oxlDisplay(D7)</f>
        <v>jack fruit</v>
      </c>
      <c r="E14">
        <v>50</v>
      </c>
      <c r="G14" t="str">
        <f t="array" ref="G14:H16">_xll.oxlDisplay((G7))</f>
        <v>Curt</v>
      </c>
      <c r="H14" t="str">
        <v>Managing Director</v>
      </c>
      <c r="J14" t="str">
        <f t="array" ref="J14:K16">_xll.oxlDisplay(J7)</f>
        <v>AP</v>
      </c>
      <c r="K14" t="str">
        <v>Royal Oak: 50</v>
      </c>
    </row>
    <row r="15" spans="4:15" x14ac:dyDescent="0.25">
      <c r="D15" t="str">
        <v xml:space="preserve">apple </v>
      </c>
      <c r="E15">
        <v>170</v>
      </c>
      <c r="G15" t="str">
        <v xml:space="preserve">Mike </v>
      </c>
      <c r="H15" t="str">
        <v>Driector</v>
      </c>
      <c r="J15" t="str">
        <v>JLC</v>
      </c>
      <c r="K15" t="str">
        <v>Polaris:6</v>
      </c>
    </row>
    <row r="16" spans="4:15" x14ac:dyDescent="0.25">
      <c r="D16" t="str">
        <v>banna</v>
      </c>
      <c r="E16">
        <v>120</v>
      </c>
      <c r="G16" t="str">
        <v>Ryan</v>
      </c>
      <c r="H16" t="str">
        <v>Associate</v>
      </c>
      <c r="J16" t="str">
        <v>Rolex</v>
      </c>
      <c r="K16" t="str">
        <v>Submariner:15</v>
      </c>
    </row>
    <row r="18" spans="10:11" x14ac:dyDescent="0.25">
      <c r="J18" t="str">
        <f t="array" ref="J18:K20">_xll.oxlDisplay(K7)</f>
        <v>AP</v>
      </c>
      <c r="K18" t="str">
        <v>Royal Oak:20</v>
      </c>
    </row>
    <row r="19" spans="10:11" x14ac:dyDescent="0.25">
      <c r="J19" t="str">
        <v>JLC</v>
      </c>
      <c r="K19" t="str">
        <v>Reverso:9</v>
      </c>
    </row>
    <row r="20" spans="10:11" x14ac:dyDescent="0.25">
      <c r="J20" t="str">
        <v>Rolex</v>
      </c>
      <c r="K20" t="str">
        <v>Oyster Perpetual:15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Jang</dc:creator>
  <cp:lastModifiedBy>Michael Jang</cp:lastModifiedBy>
  <dcterms:created xsi:type="dcterms:W3CDTF">2023-03-04T20:16:06Z</dcterms:created>
  <dcterms:modified xsi:type="dcterms:W3CDTF">2023-04-11T00:51:41Z</dcterms:modified>
</cp:coreProperties>
</file>